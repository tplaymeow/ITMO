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Timur\Desktop\"/>
    </mc:Choice>
  </mc:AlternateContent>
  <xr:revisionPtr revIDLastSave="0" documentId="8_{99AEAC27-4436-47A5-8CA2-4D0480894016}" xr6:coauthVersionLast="45" xr6:coauthVersionMax="45" xr10:uidLastSave="{00000000-0000-0000-0000-000000000000}"/>
  <bookViews>
    <workbookView xWindow="-120" yWindow="-120" windowWidth="29040" windowHeight="15990" xr2:uid="{16173118-C2E2-4CC1-B45B-84AE5F7140A3}"/>
  </bookViews>
  <sheets>
    <sheet name="B2" sheetId="1" r:id="rId1"/>
    <sheet name="Справочник(C5)" sheetId="2" r:id="rId2"/>
    <sheet name="Расчет(C5)" sheetId="3" r:id="rId3"/>
    <sheet name="Диаграмма(C5)" sheetId="4" r:id="rId4"/>
    <sheet name="E(2009)" sheetId="5" r:id="rId5"/>
    <sheet name="Таблица1(F3)" sheetId="6" r:id="rId6"/>
    <sheet name="Таблица2(F3)" sheetId="7" r:id="rId7"/>
    <sheet name="G1(неделя 1)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" i="8" l="1" a="1"/>
  <c r="N1" i="8" s="1"/>
  <c r="F1" i="8" a="1"/>
  <c r="F1" i="8" s="1"/>
  <c r="A10" i="8"/>
  <c r="A17" i="8" s="1"/>
  <c r="I3" i="8" s="1"/>
  <c r="I10" i="8" l="1"/>
  <c r="I17" i="8" s="1"/>
  <c r="C14" i="6" l="1"/>
  <c r="C5" i="6"/>
  <c r="C3" i="6"/>
  <c r="C4" i="6"/>
  <c r="C6" i="6"/>
  <c r="C7" i="6"/>
  <c r="C8" i="6"/>
  <c r="C9" i="6"/>
  <c r="C10" i="6"/>
  <c r="C11" i="6"/>
  <c r="C12" i="6"/>
  <c r="C13" i="6"/>
  <c r="C2" i="6"/>
  <c r="I7" i="5"/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2" i="5"/>
  <c r="I3" i="5"/>
  <c r="I4" i="5"/>
  <c r="I5" i="5"/>
  <c r="I6" i="5"/>
  <c r="I8" i="5"/>
  <c r="I9" i="5"/>
  <c r="I10" i="5"/>
  <c r="I11" i="5"/>
  <c r="I12" i="5"/>
  <c r="I13" i="5"/>
  <c r="I14" i="5"/>
  <c r="I15" i="5"/>
  <c r="I16" i="5"/>
  <c r="I17" i="5"/>
  <c r="I2" i="5"/>
  <c r="H13" i="3"/>
  <c r="H10" i="3"/>
  <c r="H11" i="3"/>
  <c r="H12" i="3"/>
  <c r="H9" i="3"/>
  <c r="G13" i="3"/>
  <c r="G10" i="3"/>
  <c r="G11" i="3"/>
  <c r="G12" i="3"/>
  <c r="G9" i="3"/>
  <c r="F9" i="3"/>
  <c r="F13" i="3"/>
  <c r="F10" i="3"/>
  <c r="F11" i="3"/>
  <c r="F12" i="3"/>
  <c r="E13" i="3"/>
  <c r="E10" i="3"/>
  <c r="E11" i="3"/>
  <c r="E12" i="3"/>
  <c r="E9" i="3"/>
  <c r="C10" i="3"/>
  <c r="C11" i="3"/>
  <c r="C12" i="3"/>
  <c r="C9" i="3"/>
  <c r="B13" i="3"/>
  <c r="L8" i="1"/>
  <c r="L9" i="1"/>
  <c r="L11" i="1"/>
  <c r="L6" i="1"/>
  <c r="K8" i="1"/>
  <c r="K9" i="1"/>
  <c r="K11" i="1"/>
  <c r="K6" i="1"/>
  <c r="J8" i="1"/>
  <c r="J9" i="1"/>
  <c r="J11" i="1"/>
  <c r="J6" i="1"/>
  <c r="I8" i="1"/>
  <c r="I9" i="1"/>
  <c r="I11" i="1"/>
  <c r="I6" i="1"/>
  <c r="H7" i="1"/>
  <c r="H8" i="1"/>
  <c r="H9" i="1"/>
  <c r="H10" i="1"/>
  <c r="J10" i="1" s="1"/>
  <c r="H11" i="1"/>
  <c r="H6" i="1"/>
  <c r="I10" i="1" l="1"/>
  <c r="K10" i="1" s="1"/>
  <c r="L10" i="1" s="1"/>
  <c r="I7" i="1"/>
  <c r="J7" i="1"/>
  <c r="K7" i="1" l="1"/>
  <c r="L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<sst xmlns="http://schemas.openxmlformats.org/spreadsheetml/2006/main" count="178" uniqueCount="140">
  <si>
    <t>Расчётно-платёжная ведомость</t>
  </si>
  <si>
    <t>за  месяц</t>
  </si>
  <si>
    <t>за 201 года</t>
  </si>
  <si>
    <t>№ п/п</t>
  </si>
  <si>
    <t>Фамилия</t>
  </si>
  <si>
    <t>Иванов</t>
  </si>
  <si>
    <t>Вещий</t>
  </si>
  <si>
    <t>Смиронова</t>
  </si>
  <si>
    <t>Васильев</t>
  </si>
  <si>
    <t>Каренина</t>
  </si>
  <si>
    <t>Князев</t>
  </si>
  <si>
    <t>Имя</t>
  </si>
  <si>
    <t>Иван</t>
  </si>
  <si>
    <t>Олег</t>
  </si>
  <si>
    <t>Алевтина</t>
  </si>
  <si>
    <t>Василий</t>
  </si>
  <si>
    <t>Анна</t>
  </si>
  <si>
    <t>Игорь</t>
  </si>
  <si>
    <t>Отчество</t>
  </si>
  <si>
    <t>Васильевич</t>
  </si>
  <si>
    <t>Игорьевич</t>
  </si>
  <si>
    <t>Георгиевна</t>
  </si>
  <si>
    <t>Сергеевна</t>
  </si>
  <si>
    <t>Олегович</t>
  </si>
  <si>
    <t>Должность</t>
  </si>
  <si>
    <t>Инженер</t>
  </si>
  <si>
    <t>Программист</t>
  </si>
  <si>
    <t>Зав. Отделом</t>
  </si>
  <si>
    <t>Инженером</t>
  </si>
  <si>
    <t>Секретарь</t>
  </si>
  <si>
    <t>Оператор</t>
  </si>
  <si>
    <t>Начисленно</t>
  </si>
  <si>
    <t>Оклад</t>
  </si>
  <si>
    <t>Премия(%)</t>
  </si>
  <si>
    <t>Итого</t>
  </si>
  <si>
    <t>Удержанно</t>
  </si>
  <si>
    <t>Пенсионный фонд (1%)</t>
  </si>
  <si>
    <t>Подоходный налог  (13%)</t>
  </si>
  <si>
    <t>Итого к выдаче</t>
  </si>
  <si>
    <t>Директор</t>
  </si>
  <si>
    <t>Гл. Бухгалтер</t>
  </si>
  <si>
    <t>Петров Г. П.</t>
  </si>
  <si>
    <t>Фёдоров М. Я.</t>
  </si>
  <si>
    <t>Процент с прибыли:</t>
  </si>
  <si>
    <t>Размер прибыли, более которойможно начислять</t>
  </si>
  <si>
    <t>Надбавка за совместительство:</t>
  </si>
  <si>
    <t>Тариф, руб/день:</t>
  </si>
  <si>
    <t>Секция:</t>
  </si>
  <si>
    <t>Месяц:</t>
  </si>
  <si>
    <t>Прибыль:</t>
  </si>
  <si>
    <t>Радиотавары</t>
  </si>
  <si>
    <t>июнь, 2002</t>
  </si>
  <si>
    <t>Размер вознаграждения</t>
  </si>
  <si>
    <t>ФИО продавца</t>
  </si>
  <si>
    <t>Кол-во отраб. дней</t>
  </si>
  <si>
    <t>Рабочее время в %</t>
  </si>
  <si>
    <t>Совместительство</t>
  </si>
  <si>
    <t>Начисление по тарифу</t>
  </si>
  <si>
    <t>Процент с прибыли, руб</t>
  </si>
  <si>
    <t>Надбавка за совмещение</t>
  </si>
  <si>
    <t>Иванова</t>
  </si>
  <si>
    <t>Петрова</t>
  </si>
  <si>
    <t>Сидорова</t>
  </si>
  <si>
    <t>Михайлова</t>
  </si>
  <si>
    <t>Итого:</t>
  </si>
  <si>
    <t>да</t>
  </si>
  <si>
    <t>Место</t>
  </si>
  <si>
    <t>Клуб</t>
  </si>
  <si>
    <t>Игр</t>
  </si>
  <si>
    <t>Выигрыш</t>
  </si>
  <si>
    <t>Ничья</t>
  </si>
  <si>
    <t>Поражение</t>
  </si>
  <si>
    <t>Забитые мячи</t>
  </si>
  <si>
    <t>Пропущенные мячи</t>
  </si>
  <si>
    <t>Разница</t>
  </si>
  <si>
    <t>Очки</t>
  </si>
  <si>
    <t>Рубин</t>
  </si>
  <si>
    <t>Спартак</t>
  </si>
  <si>
    <t>Зенит</t>
  </si>
  <si>
    <t>Локомотив</t>
  </si>
  <si>
    <t>ЦСКА</t>
  </si>
  <si>
    <t>Москва</t>
  </si>
  <si>
    <t>Сатурн</t>
  </si>
  <si>
    <t>Динамо</t>
  </si>
  <si>
    <t>Томь</t>
  </si>
  <si>
    <t>Крылья Советов</t>
  </si>
  <si>
    <t>Спартак-Нальчик</t>
  </si>
  <si>
    <t>Терек</t>
  </si>
  <si>
    <t>Амкар</t>
  </si>
  <si>
    <t>Ростов</t>
  </si>
  <si>
    <t>Кубань</t>
  </si>
  <si>
    <t>Химки</t>
  </si>
  <si>
    <t>Наименование продукта</t>
  </si>
  <si>
    <t>Количество, кг</t>
  </si>
  <si>
    <t>Итоговая цена</t>
  </si>
  <si>
    <t>Бампер передний</t>
  </si>
  <si>
    <t>Бампер задний</t>
  </si>
  <si>
    <t>Крыло левое заднее</t>
  </si>
  <si>
    <t>Дверь правая передняя</t>
  </si>
  <si>
    <t>Капот</t>
  </si>
  <si>
    <t>Крышка багажника</t>
  </si>
  <si>
    <t>Шкив коленчатого вала</t>
  </si>
  <si>
    <t>Радиатор</t>
  </si>
  <si>
    <t>Зеркало левое</t>
  </si>
  <si>
    <t>Дверь левая предняя</t>
  </si>
  <si>
    <t>Фильтр масляный</t>
  </si>
  <si>
    <t>Фильтр воздушный</t>
  </si>
  <si>
    <t>ИТОГО:</t>
  </si>
  <si>
    <t>Наименование товара</t>
  </si>
  <si>
    <t>Цена, руб/шт</t>
  </si>
  <si>
    <t>Глушитель</t>
  </si>
  <si>
    <t>Проушина буксирная</t>
  </si>
  <si>
    <t>Номер триместра</t>
  </si>
  <si>
    <t>Дата</t>
  </si>
  <si>
    <t>День
недели</t>
  </si>
  <si>
    <t>№ урока</t>
  </si>
  <si>
    <t>Предмет</t>
  </si>
  <si>
    <t>Домашнее задание</t>
  </si>
  <si>
    <t>Оценка</t>
  </si>
  <si>
    <t>Подпись</t>
  </si>
  <si>
    <t>Понедельник</t>
  </si>
  <si>
    <t>Информатика</t>
  </si>
  <si>
    <t>Четверг</t>
  </si>
  <si>
    <t>Русский язык</t>
  </si>
  <si>
    <t>Литература</t>
  </si>
  <si>
    <t>История</t>
  </si>
  <si>
    <t>География</t>
  </si>
  <si>
    <t>Алгебра</t>
  </si>
  <si>
    <t>Физика</t>
  </si>
  <si>
    <t>Черчение</t>
  </si>
  <si>
    <t>Биология</t>
  </si>
  <si>
    <t>Английский язык</t>
  </si>
  <si>
    <t>Вторник</t>
  </si>
  <si>
    <t>Физкультура</t>
  </si>
  <si>
    <t>Пятница</t>
  </si>
  <si>
    <t>Геометрия</t>
  </si>
  <si>
    <t>Химия</t>
  </si>
  <si>
    <t>Среда</t>
  </si>
  <si>
    <t>Суббота</t>
  </si>
  <si>
    <t>Обществознание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</si>
</sst>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₽&quot;_-;\-* #,##0.00\ &quot;₽&quot;_-;_-* &quot;-&quot;??\ &quot;₽&quot;_-;_-@_-"/>
    <numFmt numFmtId="173" formatCode="[$-F800]dddd\,\ mmmm\ dd\,\ yyyy"/>
    <numFmt numFmtId="174" formatCode="[$-419]d\ mmm;@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gray0625"/>
    </fill>
  </fills>
  <borders count="3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medium">
        <color auto="1"/>
      </right>
      <top/>
      <bottom/>
      <diagonal/>
    </border>
    <border>
      <left style="medium">
        <color auto="1"/>
      </left>
      <right style="dashed">
        <color auto="1"/>
      </right>
      <top/>
      <bottom style="medium">
        <color auto="1"/>
      </bottom>
      <diagonal/>
    </border>
    <border>
      <left style="dashed">
        <color auto="1"/>
      </left>
      <right style="dashed">
        <color auto="1"/>
      </right>
      <top/>
      <bottom style="medium">
        <color auto="1"/>
      </bottom>
      <diagonal/>
    </border>
    <border>
      <left style="dashed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medium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44" fontId="2" fillId="0" borderId="1" xfId="0" applyNumberFormat="1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1" fontId="0" fillId="0" borderId="5" xfId="0" applyNumberFormat="1" applyBorder="1"/>
    <xf numFmtId="1" fontId="0" fillId="0" borderId="6" xfId="1" applyNumberFormat="1" applyFont="1" applyBorder="1"/>
    <xf numFmtId="1" fontId="0" fillId="0" borderId="8" xfId="0" applyNumberFormat="1" applyBorder="1"/>
    <xf numFmtId="1" fontId="0" fillId="0" borderId="9" xfId="1" applyNumberFormat="1" applyFont="1" applyBorder="1"/>
    <xf numFmtId="1" fontId="0" fillId="0" borderId="11" xfId="0" applyNumberFormat="1" applyBorder="1"/>
    <xf numFmtId="1" fontId="0" fillId="0" borderId="12" xfId="1" applyNumberFormat="1" applyFont="1" applyBorder="1"/>
    <xf numFmtId="2" fontId="0" fillId="1" borderId="7" xfId="0" applyNumberFormat="1" applyFill="1" applyBorder="1"/>
    <xf numFmtId="2" fontId="0" fillId="1" borderId="10" xfId="0" applyNumberFormat="1" applyFill="1" applyBorder="1"/>
    <xf numFmtId="2" fontId="0" fillId="1" borderId="13" xfId="0" applyNumberFormat="1" applyFill="1" applyBorder="1"/>
    <xf numFmtId="2" fontId="0" fillId="1" borderId="5" xfId="0" applyNumberFormat="1" applyFill="1" applyBorder="1"/>
    <xf numFmtId="2" fontId="0" fillId="1" borderId="6" xfId="0" applyNumberFormat="1" applyFill="1" applyBorder="1"/>
    <xf numFmtId="2" fontId="2" fillId="1" borderId="2" xfId="0" applyNumberFormat="1" applyFont="1" applyFill="1" applyBorder="1"/>
    <xf numFmtId="2" fontId="0" fillId="1" borderId="8" xfId="0" applyNumberFormat="1" applyFill="1" applyBorder="1"/>
    <xf numFmtId="2" fontId="0" fillId="1" borderId="9" xfId="0" applyNumberFormat="1" applyFill="1" applyBorder="1"/>
    <xf numFmtId="2" fontId="2" fillId="1" borderId="3" xfId="0" applyNumberFormat="1" applyFont="1" applyFill="1" applyBorder="1"/>
    <xf numFmtId="2" fontId="0" fillId="1" borderId="11" xfId="0" applyNumberFormat="1" applyFill="1" applyBorder="1"/>
    <xf numFmtId="2" fontId="0" fillId="1" borderId="12" xfId="0" applyNumberFormat="1" applyFill="1" applyBorder="1"/>
    <xf numFmtId="2" fontId="2" fillId="1" borderId="4" xfId="0" applyNumberFormat="1" applyFont="1" applyFill="1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44" fontId="2" fillId="0" borderId="16" xfId="0" applyNumberFormat="1" applyFont="1" applyBorder="1" applyAlignment="1">
      <alignment horizontal="center" vertical="center" wrapText="1"/>
    </xf>
    <xf numFmtId="44" fontId="2" fillId="0" borderId="17" xfId="0" applyNumberFormat="1" applyFont="1" applyBorder="1" applyAlignment="1">
      <alignment horizontal="center" vertical="center" wrapText="1"/>
    </xf>
    <xf numFmtId="44" fontId="2" fillId="0" borderId="18" xfId="0" applyNumberFormat="1" applyFont="1" applyBorder="1" applyAlignment="1">
      <alignment horizontal="center" vertical="center" wrapText="1"/>
    </xf>
    <xf numFmtId="44" fontId="5" fillId="0" borderId="16" xfId="0" applyNumberFormat="1" applyFont="1" applyBorder="1" applyAlignment="1">
      <alignment horizontal="center" vertical="center" wrapText="1"/>
    </xf>
    <xf numFmtId="44" fontId="5" fillId="0" borderId="17" xfId="0" applyNumberFormat="1" applyFont="1" applyBorder="1" applyAlignment="1">
      <alignment horizontal="center" vertical="center" wrapText="1"/>
    </xf>
    <xf numFmtId="44" fontId="5" fillId="0" borderId="18" xfId="0" applyNumberFormat="1" applyFont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 wrapText="1"/>
    </xf>
    <xf numFmtId="9" fontId="2" fillId="0" borderId="2" xfId="0" applyNumberFormat="1" applyFont="1" applyBorder="1" applyAlignment="1">
      <alignment horizontal="right" vertical="center"/>
    </xf>
    <xf numFmtId="1" fontId="2" fillId="0" borderId="3" xfId="0" applyNumberFormat="1" applyFont="1" applyBorder="1" applyAlignment="1">
      <alignment horizontal="right" vertical="center"/>
    </xf>
    <xf numFmtId="9" fontId="2" fillId="0" borderId="3" xfId="0" applyNumberFormat="1" applyFont="1" applyBorder="1" applyAlignment="1">
      <alignment horizontal="right" vertical="center"/>
    </xf>
    <xf numFmtId="1" fontId="2" fillId="0" borderId="4" xfId="0" applyNumberFormat="1" applyFont="1" applyBorder="1" applyAlignment="1">
      <alignment horizontal="right" vertical="center"/>
    </xf>
    <xf numFmtId="0" fontId="0" fillId="0" borderId="0" xfId="0" applyAlignment="1">
      <alignment horizontal="left" vertical="center"/>
    </xf>
    <xf numFmtId="173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applyFont="1"/>
    <xf numFmtId="0" fontId="0" fillId="0" borderId="0" xfId="0" applyBorder="1"/>
    <xf numFmtId="0" fontId="0" fillId="0" borderId="19" xfId="0" applyBorder="1"/>
    <xf numFmtId="0" fontId="0" fillId="0" borderId="20" xfId="0" applyBorder="1" applyAlignment="1">
      <alignment vertical="center"/>
    </xf>
    <xf numFmtId="0" fontId="0" fillId="0" borderId="20" xfId="0" applyBorder="1"/>
    <xf numFmtId="0" fontId="0" fillId="0" borderId="22" xfId="0" applyBorder="1"/>
    <xf numFmtId="0" fontId="0" fillId="0" borderId="23" xfId="0" applyBorder="1" applyAlignment="1">
      <alignment vertical="center"/>
    </xf>
    <xf numFmtId="0" fontId="0" fillId="0" borderId="23" xfId="0" applyBorder="1"/>
    <xf numFmtId="0" fontId="0" fillId="0" borderId="25" xfId="0" applyBorder="1"/>
    <xf numFmtId="0" fontId="0" fillId="0" borderId="26" xfId="0" applyBorder="1" applyAlignment="1">
      <alignment vertical="center"/>
    </xf>
    <xf numFmtId="0" fontId="0" fillId="0" borderId="26" xfId="0" applyBorder="1"/>
    <xf numFmtId="0" fontId="2" fillId="0" borderId="28" xfId="0" applyFont="1" applyBorder="1" applyAlignment="1">
      <alignment horizontal="right" vertical="center"/>
    </xf>
    <xf numFmtId="1" fontId="0" fillId="0" borderId="29" xfId="0" applyNumberFormat="1" applyBorder="1"/>
    <xf numFmtId="0" fontId="0" fillId="0" borderId="29" xfId="0" applyBorder="1"/>
    <xf numFmtId="0" fontId="2" fillId="0" borderId="31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2" fillId="0" borderId="33" xfId="0" applyFont="1" applyBorder="1" applyAlignment="1">
      <alignment horizontal="center" vertical="center" wrapText="1"/>
    </xf>
    <xf numFmtId="0" fontId="0" fillId="1" borderId="29" xfId="0" applyFill="1" applyBorder="1" applyAlignment="1">
      <alignment vertical="center"/>
    </xf>
    <xf numFmtId="1" fontId="0" fillId="1" borderId="20" xfId="0" applyNumberFormat="1" applyFill="1" applyBorder="1" applyAlignment="1">
      <alignment horizontal="center" vertical="center"/>
    </xf>
    <xf numFmtId="1" fontId="0" fillId="1" borderId="23" xfId="0" applyNumberFormat="1" applyFill="1" applyBorder="1" applyAlignment="1">
      <alignment horizontal="center" vertical="center"/>
    </xf>
    <xf numFmtId="1" fontId="0" fillId="1" borderId="26" xfId="0" applyNumberFormat="1" applyFill="1" applyBorder="1" applyAlignment="1">
      <alignment horizontal="center" vertical="center"/>
    </xf>
    <xf numFmtId="1" fontId="0" fillId="1" borderId="20" xfId="0" applyNumberFormat="1" applyFill="1" applyBorder="1"/>
    <xf numFmtId="1" fontId="0" fillId="1" borderId="23" xfId="0" applyNumberFormat="1" applyFill="1" applyBorder="1"/>
    <xf numFmtId="1" fontId="0" fillId="1" borderId="26" xfId="0" applyNumberFormat="1" applyFill="1" applyBorder="1"/>
    <xf numFmtId="1" fontId="0" fillId="1" borderId="29" xfId="0" applyNumberFormat="1" applyFill="1" applyBorder="1" applyAlignment="1">
      <alignment vertical="center"/>
    </xf>
    <xf numFmtId="2" fontId="0" fillId="1" borderId="20" xfId="0" applyNumberFormat="1" applyFill="1" applyBorder="1"/>
    <xf numFmtId="0" fontId="0" fillId="1" borderId="20" xfId="0" applyNumberFormat="1" applyFill="1" applyBorder="1"/>
    <xf numFmtId="2" fontId="0" fillId="1" borderId="21" xfId="0" applyNumberFormat="1" applyFill="1" applyBorder="1"/>
    <xf numFmtId="2" fontId="0" fillId="1" borderId="23" xfId="0" applyNumberFormat="1" applyFill="1" applyBorder="1"/>
    <xf numFmtId="0" fontId="0" fillId="1" borderId="23" xfId="0" applyNumberFormat="1" applyFill="1" applyBorder="1"/>
    <xf numFmtId="2" fontId="0" fillId="1" borderId="24" xfId="0" applyNumberFormat="1" applyFill="1" applyBorder="1"/>
    <xf numFmtId="2" fontId="0" fillId="1" borderId="26" xfId="0" applyNumberFormat="1" applyFill="1" applyBorder="1"/>
    <xf numFmtId="0" fontId="0" fillId="1" borderId="26" xfId="0" applyNumberFormat="1" applyFill="1" applyBorder="1"/>
    <xf numFmtId="2" fontId="0" fillId="1" borderId="27" xfId="0" applyNumberFormat="1" applyFill="1" applyBorder="1"/>
    <xf numFmtId="2" fontId="0" fillId="1" borderId="29" xfId="0" applyNumberFormat="1" applyFill="1" applyBorder="1" applyAlignment="1">
      <alignment vertical="center"/>
    </xf>
    <xf numFmtId="2" fontId="0" fillId="1" borderId="30" xfId="0" applyNumberFormat="1" applyFill="1" applyBorder="1" applyAlignment="1">
      <alignment vertical="center"/>
    </xf>
    <xf numFmtId="0" fontId="0" fillId="0" borderId="34" xfId="0" applyBorder="1"/>
    <xf numFmtId="0" fontId="2" fillId="0" borderId="34" xfId="0" applyFont="1" applyBorder="1"/>
    <xf numFmtId="0" fontId="0" fillId="0" borderId="34" xfId="0" applyBorder="1" applyAlignment="1">
      <alignment horizontal="right" vertical="center"/>
    </xf>
    <xf numFmtId="0" fontId="2" fillId="0" borderId="0" xfId="0" applyFont="1" applyBorder="1"/>
    <xf numFmtId="0" fontId="0" fillId="0" borderId="0" xfId="0" applyBorder="1" applyAlignment="1">
      <alignment horizontal="right" vertical="center"/>
    </xf>
    <xf numFmtId="0" fontId="0" fillId="0" borderId="34" xfId="0" applyFill="1" applyBorder="1"/>
    <xf numFmtId="1" fontId="0" fillId="2" borderId="34" xfId="0" applyNumberFormat="1" applyFill="1" applyBorder="1" applyAlignment="1">
      <alignment horizontal="right" vertical="center"/>
    </xf>
    <xf numFmtId="1" fontId="0" fillId="2" borderId="34" xfId="0" applyNumberFormat="1" applyFill="1" applyBorder="1"/>
    <xf numFmtId="0" fontId="7" fillId="0" borderId="0" xfId="0" applyFont="1" applyAlignment="1">
      <alignment horizontal="right"/>
    </xf>
    <xf numFmtId="174" fontId="0" fillId="0" borderId="34" xfId="0" applyNumberFormat="1" applyBorder="1" applyAlignment="1">
      <alignment horizontal="center" vertical="center" textRotation="90"/>
    </xf>
    <xf numFmtId="0" fontId="0" fillId="0" borderId="34" xfId="0" applyBorder="1" applyAlignment="1">
      <alignment horizontal="center" vertical="center" textRotation="90"/>
    </xf>
    <xf numFmtId="0" fontId="2" fillId="0" borderId="34" xfId="0" applyFont="1" applyBorder="1" applyAlignment="1">
      <alignment horizontal="center" vertical="center" wrapText="1"/>
    </xf>
  </cellXfs>
  <cellStyles count="2">
    <cellStyle name="Обычный" xfId="0" builtinId="0"/>
    <cellStyle name="Процентный" xfId="1" builtinId="5"/>
  </cellStyles>
  <dxfs count="5">
    <dxf>
      <font>
        <color rgb="FFFF000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4360858245131045"/>
          <c:w val="0.75590127467250445"/>
          <c:h val="0.76202705331930576"/>
        </c:manualLayout>
      </c:layout>
      <c:pie3DChart>
        <c:varyColors val="1"/>
        <c:ser>
          <c:idx val="0"/>
          <c:order val="0"/>
          <c:tx>
            <c:strRef>
              <c:f>'Расчет(C5)'!$F$8</c:f>
              <c:strCache>
                <c:ptCount val="1"/>
                <c:pt idx="0">
                  <c:v>Процент с прибыли, руб</c:v>
                </c:pt>
              </c:strCache>
            </c:strRef>
          </c:tx>
          <c:spPr>
            <a:ln w="9525">
              <a:solidFill>
                <a:schemeClr val="tx1"/>
              </a:solidFill>
            </a:ln>
            <a:effectLst/>
            <a:scene3d>
              <a:camera prst="orthographicFront"/>
              <a:lightRig rig="threePt" dir="t"/>
            </a:scene3d>
            <a:sp3d>
              <a:contourClr>
                <a:srgbClr val="000000"/>
              </a:contourClr>
            </a:sp3d>
          </c:spPr>
          <c:explosion val="11"/>
          <c:dPt>
            <c:idx val="0"/>
            <c:bubble3D val="0"/>
            <c:spPr>
              <a:solidFill>
                <a:schemeClr val="accent1"/>
              </a:solidFill>
              <a:ln w="3175">
                <a:solidFill>
                  <a:schemeClr val="tx1"/>
                </a:solidFill>
              </a:ln>
              <a:effectLst/>
              <a:scene3d>
                <a:camera prst="orthographicFront"/>
                <a:lightRig rig="threePt" dir="t"/>
              </a:scene3d>
              <a:sp3d contourW="3175">
                <a:contourClr>
                  <a:schemeClr val="tx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B699-4928-BA97-62D3DB1F41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3175">
                <a:solidFill>
                  <a:schemeClr val="tx1"/>
                </a:solidFill>
              </a:ln>
              <a:effectLst/>
              <a:scene3d>
                <a:camera prst="orthographicFront"/>
                <a:lightRig rig="threePt" dir="t"/>
              </a:scene3d>
              <a:sp3d contourW="3175">
                <a:contourClr>
                  <a:schemeClr val="tx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B699-4928-BA97-62D3DB1F417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3175">
                <a:solidFill>
                  <a:schemeClr val="tx1"/>
                </a:solidFill>
              </a:ln>
              <a:effectLst/>
              <a:scene3d>
                <a:camera prst="orthographicFront"/>
                <a:lightRig rig="threePt" dir="t"/>
              </a:scene3d>
              <a:sp3d contourW="3175">
                <a:contourClr>
                  <a:schemeClr val="tx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B699-4928-BA97-62D3DB1F417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3175">
                <a:solidFill>
                  <a:schemeClr val="tx1"/>
                </a:solidFill>
              </a:ln>
              <a:effectLst/>
              <a:scene3d>
                <a:camera prst="orthographicFront"/>
                <a:lightRig rig="threePt" dir="t"/>
              </a:scene3d>
              <a:sp3d contourW="3175">
                <a:contourClr>
                  <a:schemeClr val="tx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699-4928-BA97-62D3DB1F417A}"/>
              </c:ext>
            </c:extLst>
          </c:dPt>
          <c:cat>
            <c:strRef>
              <c:f>'Расчет(C5)'!$A$9:$A$12</c:f>
              <c:strCache>
                <c:ptCount val="4"/>
                <c:pt idx="0">
                  <c:v>Иванова</c:v>
                </c:pt>
                <c:pt idx="1">
                  <c:v>Петрова</c:v>
                </c:pt>
                <c:pt idx="2">
                  <c:v>Сидорова</c:v>
                </c:pt>
                <c:pt idx="3">
                  <c:v>Михайлова</c:v>
                </c:pt>
              </c:strCache>
            </c:strRef>
          </c:cat>
          <c:val>
            <c:numRef>
              <c:f>'Расчет(C5)'!$F$9:$F$12</c:f>
              <c:numCache>
                <c:formatCode>0.00</c:formatCode>
                <c:ptCount val="4"/>
                <c:pt idx="0">
                  <c:v>409.09090909090907</c:v>
                </c:pt>
                <c:pt idx="1">
                  <c:v>272.72727272727275</c:v>
                </c:pt>
                <c:pt idx="2">
                  <c:v>409.09090909090907</c:v>
                </c:pt>
                <c:pt idx="3">
                  <c:v>409.09090909090907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99-4928-BA97-62D3DB1F4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>
          <a:glow rad="812800">
            <a:schemeClr val="accent1">
              <a:alpha val="40000"/>
            </a:schemeClr>
          </a:glow>
        </a:effectLst>
      </c:spPr>
    </c:plotArea>
    <c:legend>
      <c:legendPos val="r"/>
      <c:layout>
        <c:manualLayout>
          <c:xMode val="edge"/>
          <c:yMode val="edge"/>
          <c:x val="0.7746536954646156"/>
          <c:y val="0.34137113705343763"/>
          <c:w val="0.15385881697523235"/>
          <c:h val="0.31382916270974853"/>
        </c:manualLayout>
      </c:layout>
      <c:overlay val="0"/>
      <c:spPr>
        <a:noFill/>
        <a:ln>
          <a:solidFill>
            <a:schemeClr val="tx1"/>
          </a:solidFill>
        </a:ln>
        <a:effectLst>
          <a:glow>
            <a:schemeClr val="accent1">
              <a:alpha val="40000"/>
            </a:schemeClr>
          </a:glow>
          <a:outerShdw blurRad="50800" dist="50800" dir="5400000" sx="1000" sy="1000" algn="ctr" rotWithShape="0">
            <a:srgbClr val="000000">
              <a:alpha val="43137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142877</xdr:colOff>
      <xdr:row>0</xdr:row>
      <xdr:rowOff>85726</xdr:rowOff>
    </xdr:from>
    <xdr:to>
      <xdr:col>9</xdr:col>
      <xdr:colOff>228601</xdr:colOff>
      <xdr:row>20</xdr:row>
      <xdr:rowOff>4762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C698123-F538-4888-8C47-7FC814BAA1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2A525-41E3-4963-9CF1-11D38BD3A23A}">
  <sheetPr codeName="Лист1"/>
  <dimension ref="A1:L14"/>
  <sheetViews>
    <sheetView showZeros="0" tabSelected="1" zoomScaleNormal="100" workbookViewId="0">
      <selection activeCell="I21" sqref="I21"/>
    </sheetView>
  </sheetViews>
  <sheetFormatPr defaultRowHeight="15" x14ac:dyDescent="0.25"/>
  <cols>
    <col min="1" max="1" width="5.5703125" customWidth="1"/>
    <col min="2" max="2" width="14.28515625" customWidth="1"/>
    <col min="3" max="3" width="9.7109375" bestFit="1" customWidth="1"/>
    <col min="4" max="4" width="11.5703125" bestFit="1" customWidth="1"/>
    <col min="5" max="5" width="13.42578125" bestFit="1" customWidth="1"/>
    <col min="7" max="7" width="11.5703125" customWidth="1"/>
    <col min="8" max="8" width="14.42578125" customWidth="1"/>
    <col min="9" max="9" width="13.28515625" customWidth="1"/>
    <col min="10" max="10" width="13.42578125" customWidth="1"/>
    <col min="11" max="11" width="11.28515625" customWidth="1"/>
    <col min="12" max="12" width="14.5703125" customWidth="1"/>
  </cols>
  <sheetData>
    <row r="1" spans="1:12" ht="21" x14ac:dyDescent="0.35">
      <c r="A1" s="3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</row>
    <row r="2" spans="1:12" ht="18.75" x14ac:dyDescent="0.3">
      <c r="E2" s="4" t="s">
        <v>1</v>
      </c>
      <c r="F2" s="4"/>
      <c r="G2" s="4"/>
      <c r="H2" s="4" t="s">
        <v>2</v>
      </c>
      <c r="I2" s="4"/>
      <c r="J2" s="4"/>
    </row>
    <row r="3" spans="1:12" ht="15.75" thickBot="1" x14ac:dyDescent="0.3"/>
    <row r="4" spans="1:12" ht="24.75" customHeight="1" thickBot="1" x14ac:dyDescent="0.3">
      <c r="A4" s="5" t="s">
        <v>3</v>
      </c>
      <c r="B4" s="41" t="s">
        <v>4</v>
      </c>
      <c r="C4" s="42" t="s">
        <v>11</v>
      </c>
      <c r="D4" s="43" t="s">
        <v>18</v>
      </c>
      <c r="E4" s="5" t="s">
        <v>24</v>
      </c>
      <c r="F4" s="5" t="s">
        <v>31</v>
      </c>
      <c r="G4" s="5"/>
      <c r="H4" s="5"/>
      <c r="I4" s="5" t="s">
        <v>35</v>
      </c>
      <c r="J4" s="5"/>
      <c r="K4" s="5"/>
      <c r="L4" s="5" t="s">
        <v>38</v>
      </c>
    </row>
    <row r="5" spans="1:12" ht="32.25" customHeight="1" thickBot="1" x14ac:dyDescent="0.3">
      <c r="A5" s="5"/>
      <c r="B5" s="41"/>
      <c r="C5" s="42"/>
      <c r="D5" s="43"/>
      <c r="E5" s="5"/>
      <c r="F5" s="44" t="s">
        <v>32</v>
      </c>
      <c r="G5" s="45" t="s">
        <v>33</v>
      </c>
      <c r="H5" s="46" t="s">
        <v>34</v>
      </c>
      <c r="I5" s="44" t="s">
        <v>36</v>
      </c>
      <c r="J5" s="45" t="s">
        <v>37</v>
      </c>
      <c r="K5" s="46" t="s">
        <v>34</v>
      </c>
      <c r="L5" s="5"/>
    </row>
    <row r="6" spans="1:12" x14ac:dyDescent="0.25">
      <c r="A6" s="6">
        <v>1</v>
      </c>
      <c r="B6" s="9" t="s">
        <v>5</v>
      </c>
      <c r="C6" s="10" t="s">
        <v>12</v>
      </c>
      <c r="D6" s="11" t="s">
        <v>19</v>
      </c>
      <c r="E6" s="18" t="s">
        <v>25</v>
      </c>
      <c r="F6" s="21">
        <v>3850</v>
      </c>
      <c r="G6" s="22">
        <v>40</v>
      </c>
      <c r="H6" s="27">
        <f>F6*(100+G6)/100</f>
        <v>5390</v>
      </c>
      <c r="I6" s="30">
        <f>H6/100</f>
        <v>53.9</v>
      </c>
      <c r="J6" s="31">
        <f>H6*13/100</f>
        <v>700.7</v>
      </c>
      <c r="K6" s="27">
        <f>SUM(I6:J6)</f>
        <v>754.6</v>
      </c>
      <c r="L6" s="32">
        <f>H6-K6</f>
        <v>4635.3999999999996</v>
      </c>
    </row>
    <row r="7" spans="1:12" x14ac:dyDescent="0.25">
      <c r="A7" s="7">
        <v>2</v>
      </c>
      <c r="B7" s="12" t="s">
        <v>6</v>
      </c>
      <c r="C7" s="13" t="s">
        <v>13</v>
      </c>
      <c r="D7" s="14" t="s">
        <v>20</v>
      </c>
      <c r="E7" s="19" t="s">
        <v>26</v>
      </c>
      <c r="F7" s="23">
        <v>5700</v>
      </c>
      <c r="G7" s="24">
        <v>60</v>
      </c>
      <c r="H7" s="28">
        <f t="shared" ref="H7:H11" si="0">F7*(100+G7)/100</f>
        <v>9120</v>
      </c>
      <c r="I7" s="33">
        <f t="shared" ref="I7:I11" si="1">H7/100</f>
        <v>91.2</v>
      </c>
      <c r="J7" s="34">
        <f t="shared" ref="J7:J11" si="2">H7*13/100</f>
        <v>1185.5999999999999</v>
      </c>
      <c r="K7" s="28">
        <f t="shared" ref="K7:K11" si="3">SUM(I7:J7)</f>
        <v>1276.8</v>
      </c>
      <c r="L7" s="35">
        <f t="shared" ref="L7:L11" si="4">H7-K7</f>
        <v>7843.2</v>
      </c>
    </row>
    <row r="8" spans="1:12" x14ac:dyDescent="0.25">
      <c r="A8" s="7">
        <v>3</v>
      </c>
      <c r="B8" s="12" t="s">
        <v>7</v>
      </c>
      <c r="C8" s="13" t="s">
        <v>14</v>
      </c>
      <c r="D8" s="14" t="s">
        <v>21</v>
      </c>
      <c r="E8" s="19" t="s">
        <v>27</v>
      </c>
      <c r="F8" s="23">
        <v>5200</v>
      </c>
      <c r="G8" s="24">
        <v>101</v>
      </c>
      <c r="H8" s="28">
        <f t="shared" si="0"/>
        <v>10452</v>
      </c>
      <c r="I8" s="33">
        <f t="shared" si="1"/>
        <v>104.52</v>
      </c>
      <c r="J8" s="34">
        <f t="shared" si="2"/>
        <v>1358.76</v>
      </c>
      <c r="K8" s="28">
        <f t="shared" si="3"/>
        <v>1463.28</v>
      </c>
      <c r="L8" s="35">
        <f t="shared" si="4"/>
        <v>8988.7199999999993</v>
      </c>
    </row>
    <row r="9" spans="1:12" x14ac:dyDescent="0.25">
      <c r="A9" s="7">
        <v>4</v>
      </c>
      <c r="B9" s="12" t="s">
        <v>8</v>
      </c>
      <c r="C9" s="13" t="s">
        <v>15</v>
      </c>
      <c r="D9" s="14" t="s">
        <v>19</v>
      </c>
      <c r="E9" s="19" t="s">
        <v>28</v>
      </c>
      <c r="F9" s="23">
        <v>3850</v>
      </c>
      <c r="G9" s="24">
        <v>42</v>
      </c>
      <c r="H9" s="28">
        <f t="shared" si="0"/>
        <v>5467</v>
      </c>
      <c r="I9" s="33">
        <f t="shared" si="1"/>
        <v>54.67</v>
      </c>
      <c r="J9" s="34">
        <f t="shared" si="2"/>
        <v>710.71</v>
      </c>
      <c r="K9" s="28">
        <f t="shared" si="3"/>
        <v>765.38</v>
      </c>
      <c r="L9" s="35">
        <f t="shared" si="4"/>
        <v>4701.62</v>
      </c>
    </row>
    <row r="10" spans="1:12" x14ac:dyDescent="0.25">
      <c r="A10" s="7">
        <v>5</v>
      </c>
      <c r="B10" s="12" t="s">
        <v>9</v>
      </c>
      <c r="C10" s="13" t="s">
        <v>16</v>
      </c>
      <c r="D10" s="14" t="s">
        <v>22</v>
      </c>
      <c r="E10" s="19" t="s">
        <v>29</v>
      </c>
      <c r="F10" s="23">
        <v>3000</v>
      </c>
      <c r="G10" s="24">
        <v>10</v>
      </c>
      <c r="H10" s="28">
        <f t="shared" si="0"/>
        <v>3300</v>
      </c>
      <c r="I10" s="33">
        <f t="shared" si="1"/>
        <v>33</v>
      </c>
      <c r="J10" s="34">
        <f t="shared" si="2"/>
        <v>429</v>
      </c>
      <c r="K10" s="28">
        <f t="shared" si="3"/>
        <v>462</v>
      </c>
      <c r="L10" s="35">
        <f t="shared" si="4"/>
        <v>2838</v>
      </c>
    </row>
    <row r="11" spans="1:12" ht="15.75" thickBot="1" x14ac:dyDescent="0.3">
      <c r="A11" s="8">
        <v>6</v>
      </c>
      <c r="B11" s="15" t="s">
        <v>10</v>
      </c>
      <c r="C11" s="16" t="s">
        <v>17</v>
      </c>
      <c r="D11" s="17" t="s">
        <v>23</v>
      </c>
      <c r="E11" s="20" t="s">
        <v>30</v>
      </c>
      <c r="F11" s="25">
        <v>2900</v>
      </c>
      <c r="G11" s="26">
        <v>19</v>
      </c>
      <c r="H11" s="29">
        <f t="shared" si="0"/>
        <v>3451</v>
      </c>
      <c r="I11" s="36">
        <f t="shared" si="1"/>
        <v>34.51</v>
      </c>
      <c r="J11" s="37">
        <f t="shared" si="2"/>
        <v>448.63</v>
      </c>
      <c r="K11" s="29">
        <f t="shared" si="3"/>
        <v>483.14</v>
      </c>
      <c r="L11" s="38">
        <f t="shared" si="4"/>
        <v>2967.86</v>
      </c>
    </row>
    <row r="13" spans="1:12" x14ac:dyDescent="0.25">
      <c r="E13" t="s">
        <v>39</v>
      </c>
      <c r="F13" s="39"/>
      <c r="G13" s="39"/>
      <c r="H13" t="s">
        <v>41</v>
      </c>
    </row>
    <row r="14" spans="1:12" x14ac:dyDescent="0.25">
      <c r="E14" t="s">
        <v>40</v>
      </c>
      <c r="F14" s="40"/>
      <c r="G14" s="40"/>
      <c r="H14" t="s">
        <v>42</v>
      </c>
    </row>
  </sheetData>
  <mergeCells count="13">
    <mergeCell ref="L4:L5"/>
    <mergeCell ref="F13:G13"/>
    <mergeCell ref="F14:G14"/>
    <mergeCell ref="A1:L1"/>
    <mergeCell ref="E2:G2"/>
    <mergeCell ref="H2:J2"/>
    <mergeCell ref="A4:A5"/>
    <mergeCell ref="B4:B5"/>
    <mergeCell ref="C4:C5"/>
    <mergeCell ref="D4:D5"/>
    <mergeCell ref="E4:E5"/>
    <mergeCell ref="F4:H4"/>
    <mergeCell ref="I4:K4"/>
  </mergeCells>
  <conditionalFormatting sqref="F6:L11">
    <cfRule type="cellIs" dxfId="4" priority="1" operator="lessThan">
      <formula>0</formula>
    </cfRule>
  </conditionalFormatting>
  <pageMargins left="0.25" right="0.25" top="0.75" bottom="0.75" header="0.3" footer="0.3"/>
  <pageSetup paperSize="9" orientation="landscape" horizontalDpi="4294967293" verticalDpi="4294967293" r:id="rId1"/>
  <headerFooter>
    <oddHeader>&amp;LГулямов Тимур Икромович&amp;CВариант: 8&amp;R&amp;F</oddHeader>
    <oddFooter>&amp;C16.12.2020 3:39:11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13165-6135-45EB-9B7E-6FF046BC01AA}">
  <sheetPr codeName="Лист2"/>
  <dimension ref="A1:D5"/>
  <sheetViews>
    <sheetView workbookViewId="0">
      <selection activeCell="F6" sqref="F6"/>
    </sheetView>
  </sheetViews>
  <sheetFormatPr defaultRowHeight="15" x14ac:dyDescent="0.25"/>
  <cols>
    <col min="3" max="3" width="17.140625" customWidth="1"/>
    <col min="4" max="4" width="11.7109375" customWidth="1"/>
  </cols>
  <sheetData>
    <row r="1" spans="1:4" ht="15.75" thickBot="1" x14ac:dyDescent="0.3"/>
    <row r="2" spans="1:4" x14ac:dyDescent="0.25">
      <c r="A2" s="47" t="s">
        <v>43</v>
      </c>
      <c r="B2" s="47"/>
      <c r="C2" s="47"/>
      <c r="D2" s="49">
        <v>0.15</v>
      </c>
    </row>
    <row r="3" spans="1:4" ht="30.75" customHeight="1" x14ac:dyDescent="0.25">
      <c r="A3" s="48" t="s">
        <v>44</v>
      </c>
      <c r="B3" s="48"/>
      <c r="C3" s="48"/>
      <c r="D3" s="50">
        <v>5000</v>
      </c>
    </row>
    <row r="4" spans="1:4" ht="18" customHeight="1" x14ac:dyDescent="0.25">
      <c r="A4" s="48" t="s">
        <v>45</v>
      </c>
      <c r="B4" s="48"/>
      <c r="C4" s="48"/>
      <c r="D4" s="51">
        <v>0.05</v>
      </c>
    </row>
    <row r="5" spans="1:4" ht="15.75" thickBot="1" x14ac:dyDescent="0.3">
      <c r="A5" s="47" t="s">
        <v>46</v>
      </c>
      <c r="B5" s="47"/>
      <c r="C5" s="47"/>
      <c r="D5" s="52">
        <v>350</v>
      </c>
    </row>
  </sheetData>
  <mergeCells count="4">
    <mergeCell ref="A2:C2"/>
    <mergeCell ref="A3:C3"/>
    <mergeCell ref="A4:C4"/>
    <mergeCell ref="A5:C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198D6-6B72-47EB-B94F-DC5D92CA991D}">
  <sheetPr codeName="Лист3"/>
  <dimension ref="A1:H14"/>
  <sheetViews>
    <sheetView workbookViewId="0">
      <selection activeCell="N21" sqref="N21"/>
    </sheetView>
  </sheetViews>
  <sheetFormatPr defaultRowHeight="15" x14ac:dyDescent="0.25"/>
  <cols>
    <col min="1" max="1" width="11.42578125" customWidth="1"/>
    <col min="2" max="2" width="11" customWidth="1"/>
    <col min="3" max="3" width="10.42578125" customWidth="1"/>
    <col min="4" max="4" width="10.7109375" customWidth="1"/>
    <col min="5" max="5" width="8.85546875" customWidth="1"/>
    <col min="6" max="6" width="11" customWidth="1"/>
    <col min="7" max="7" width="11.42578125" customWidth="1"/>
    <col min="8" max="8" width="13.42578125" customWidth="1"/>
  </cols>
  <sheetData>
    <row r="1" spans="1:8" x14ac:dyDescent="0.25">
      <c r="A1" s="56" t="s">
        <v>47</v>
      </c>
      <c r="B1" s="55" t="s">
        <v>50</v>
      </c>
      <c r="C1" s="55"/>
    </row>
    <row r="2" spans="1:8" x14ac:dyDescent="0.25">
      <c r="A2" s="56" t="s">
        <v>48</v>
      </c>
      <c r="B2" s="54" t="s">
        <v>51</v>
      </c>
      <c r="C2" s="54"/>
    </row>
    <row r="3" spans="1:8" x14ac:dyDescent="0.25">
      <c r="A3" s="56" t="s">
        <v>49</v>
      </c>
      <c r="B3" s="53">
        <v>10000</v>
      </c>
    </row>
    <row r="6" spans="1:8" ht="18.75" x14ac:dyDescent="0.3">
      <c r="A6" s="2" t="s">
        <v>52</v>
      </c>
      <c r="B6" s="2"/>
      <c r="C6" s="2"/>
      <c r="D6" s="2"/>
      <c r="E6" s="2"/>
      <c r="F6" s="2"/>
      <c r="G6" s="2"/>
      <c r="H6" s="2"/>
    </row>
    <row r="7" spans="1:8" ht="15.75" thickBot="1" x14ac:dyDescent="0.3"/>
    <row r="8" spans="1:8" ht="61.5" thickTop="1" thickBot="1" x14ac:dyDescent="0.3">
      <c r="A8" s="70" t="s">
        <v>53</v>
      </c>
      <c r="B8" s="71" t="s">
        <v>54</v>
      </c>
      <c r="C8" s="71" t="s">
        <v>55</v>
      </c>
      <c r="D8" s="71" t="s">
        <v>56</v>
      </c>
      <c r="E8" s="71" t="s">
        <v>57</v>
      </c>
      <c r="F8" s="71" t="s">
        <v>58</v>
      </c>
      <c r="G8" s="71" t="s">
        <v>59</v>
      </c>
      <c r="H8" s="72" t="s">
        <v>34</v>
      </c>
    </row>
    <row r="9" spans="1:8" x14ac:dyDescent="0.25">
      <c r="A9" s="58" t="s">
        <v>60</v>
      </c>
      <c r="B9" s="59">
        <v>15</v>
      </c>
      <c r="C9" s="74">
        <f>B9/$B$13*100</f>
        <v>27.27272727272727</v>
      </c>
      <c r="D9" s="60" t="s">
        <v>65</v>
      </c>
      <c r="E9" s="77">
        <f>'Расчет(C5)'!B9*'Справочник(C5)'!$D$5</f>
        <v>5250</v>
      </c>
      <c r="F9" s="81">
        <f>IF('Расчет(C5)'!$B$3&gt;'Справочник(C5)'!$D$3, 'Справочник(C5)'!$D$2*$B$3*C9/100,0)</f>
        <v>409.09090909090907</v>
      </c>
      <c r="G9" s="82">
        <f>IF(D9="да", 'Справочник(C5)'!$D$4*E9, 0)</f>
        <v>262.5</v>
      </c>
      <c r="H9" s="83">
        <f>SUM(E9:G9)</f>
        <v>5921.590909090909</v>
      </c>
    </row>
    <row r="10" spans="1:8" x14ac:dyDescent="0.25">
      <c r="A10" s="61" t="s">
        <v>61</v>
      </c>
      <c r="B10" s="62">
        <v>10</v>
      </c>
      <c r="C10" s="75">
        <f t="shared" ref="C10:C13" si="0">B10/$B$13*100</f>
        <v>18.181818181818183</v>
      </c>
      <c r="D10" s="63"/>
      <c r="E10" s="78">
        <f>'Расчет(C5)'!B10*'Справочник(C5)'!$D$5</f>
        <v>3500</v>
      </c>
      <c r="F10" s="84">
        <f>IF('Расчет(C5)'!$B$3&gt;'Справочник(C5)'!$D$3, 'Справочник(C5)'!$D$2*$B$3*C10/100,0)</f>
        <v>272.72727272727275</v>
      </c>
      <c r="G10" s="85">
        <f>IF(D10="да", 'Справочник(C5)'!$D$4*E10, 0)</f>
        <v>0</v>
      </c>
      <c r="H10" s="86">
        <f t="shared" ref="H10:H12" si="1">SUM(E10:G10)</f>
        <v>3772.727272727273</v>
      </c>
    </row>
    <row r="11" spans="1:8" x14ac:dyDescent="0.25">
      <c r="A11" s="61" t="s">
        <v>62</v>
      </c>
      <c r="B11" s="62">
        <v>15</v>
      </c>
      <c r="C11" s="75">
        <f t="shared" si="0"/>
        <v>27.27272727272727</v>
      </c>
      <c r="D11" s="63"/>
      <c r="E11" s="78">
        <f>'Расчет(C5)'!B11*'Справочник(C5)'!$D$5</f>
        <v>5250</v>
      </c>
      <c r="F11" s="84">
        <f>IF('Расчет(C5)'!$B$3&gt;'Справочник(C5)'!$D$3, 'Справочник(C5)'!$D$2*$B$3*C11/100,0)</f>
        <v>409.09090909090907</v>
      </c>
      <c r="G11" s="85">
        <f>IF(D11="да", 'Справочник(C5)'!$D$4*E11, 0)</f>
        <v>0</v>
      </c>
      <c r="H11" s="86">
        <f t="shared" si="1"/>
        <v>5659.090909090909</v>
      </c>
    </row>
    <row r="12" spans="1:8" ht="15.75" thickBot="1" x14ac:dyDescent="0.3">
      <c r="A12" s="64" t="s">
        <v>63</v>
      </c>
      <c r="B12" s="65">
        <v>15</v>
      </c>
      <c r="C12" s="76">
        <f t="shared" si="0"/>
        <v>27.27272727272727</v>
      </c>
      <c r="D12" s="66"/>
      <c r="E12" s="79">
        <f>'Расчет(C5)'!B12*'Справочник(C5)'!$D$5</f>
        <v>5250</v>
      </c>
      <c r="F12" s="87">
        <f>IF('Расчет(C5)'!$B$3&gt;'Справочник(C5)'!$D$3, 'Справочник(C5)'!$D$2*$B$3*C12/100,0)</f>
        <v>409.09090909090907</v>
      </c>
      <c r="G12" s="88">
        <f>IF(D12="да", 'Справочник(C5)'!$D$4*E12, 0)</f>
        <v>0</v>
      </c>
      <c r="H12" s="89">
        <f t="shared" si="1"/>
        <v>5659.090909090909</v>
      </c>
    </row>
    <row r="13" spans="1:8" ht="15.75" thickBot="1" x14ac:dyDescent="0.3">
      <c r="A13" s="67" t="s">
        <v>64</v>
      </c>
      <c r="B13" s="73">
        <f>SUM(B9:B12)</f>
        <v>55</v>
      </c>
      <c r="C13" s="68"/>
      <c r="D13" s="69"/>
      <c r="E13" s="80">
        <f>SUM(E9:E12)</f>
        <v>19250</v>
      </c>
      <c r="F13" s="90">
        <f>SUM(F9:F12)</f>
        <v>1499.9999999999998</v>
      </c>
      <c r="G13" s="90">
        <f>SUM(G9:G12)</f>
        <v>262.5</v>
      </c>
      <c r="H13" s="91">
        <f>SUM(H9:H12)</f>
        <v>21012.5</v>
      </c>
    </row>
    <row r="14" spans="1:8" ht="15.75" thickTop="1" x14ac:dyDescent="0.25"/>
  </sheetData>
  <mergeCells count="3">
    <mergeCell ref="B1:C1"/>
    <mergeCell ref="B2:C2"/>
    <mergeCell ref="A6:H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1D6FF-4BB8-4C27-A1E0-DA185518B41D}">
  <sheetPr codeName="Лист4"/>
  <dimension ref="A1"/>
  <sheetViews>
    <sheetView workbookViewId="0">
      <selection activeCell="M19" sqref="M1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32E05-A4AF-4582-AAA7-58A770F7A01B}">
  <sheetPr codeName="Лист5"/>
  <dimension ref="A1:J17"/>
  <sheetViews>
    <sheetView workbookViewId="0">
      <selection activeCell="M8" sqref="M8"/>
    </sheetView>
  </sheetViews>
  <sheetFormatPr defaultRowHeight="15" x14ac:dyDescent="0.25"/>
  <cols>
    <col min="1" max="1" width="6.85546875" bestFit="1" customWidth="1"/>
    <col min="2" max="2" width="16.7109375" bestFit="1" customWidth="1"/>
    <col min="3" max="3" width="4.28515625" bestFit="1" customWidth="1"/>
    <col min="4" max="4" width="9.85546875" bestFit="1" customWidth="1"/>
    <col min="6" max="6" width="11.7109375" bestFit="1" customWidth="1"/>
    <col min="7" max="7" width="14.140625" bestFit="1" customWidth="1"/>
    <col min="8" max="8" width="20" bestFit="1" customWidth="1"/>
    <col min="9" max="9" width="8.42578125" bestFit="1" customWidth="1"/>
    <col min="10" max="10" width="5.5703125" bestFit="1" customWidth="1"/>
  </cols>
  <sheetData>
    <row r="1" spans="1:10" x14ac:dyDescent="0.25">
      <c r="A1" s="93" t="s">
        <v>66</v>
      </c>
      <c r="B1" s="93" t="s">
        <v>67</v>
      </c>
      <c r="C1" s="93" t="s">
        <v>68</v>
      </c>
      <c r="D1" s="93" t="s">
        <v>69</v>
      </c>
      <c r="E1" s="93" t="s">
        <v>70</v>
      </c>
      <c r="F1" s="93" t="s">
        <v>71</v>
      </c>
      <c r="G1" s="93" t="s">
        <v>72</v>
      </c>
      <c r="H1" s="93" t="s">
        <v>73</v>
      </c>
      <c r="I1" s="93" t="s">
        <v>74</v>
      </c>
      <c r="J1" s="93" t="s">
        <v>75</v>
      </c>
    </row>
    <row r="2" spans="1:10" x14ac:dyDescent="0.25">
      <c r="A2" s="92">
        <v>1</v>
      </c>
      <c r="B2" s="92" t="s">
        <v>76</v>
      </c>
      <c r="C2" s="92">
        <v>30</v>
      </c>
      <c r="D2" s="92">
        <v>19</v>
      </c>
      <c r="E2" s="92">
        <v>6</v>
      </c>
      <c r="F2" s="92">
        <v>5</v>
      </c>
      <c r="G2" s="92">
        <v>62</v>
      </c>
      <c r="H2" s="92">
        <v>21</v>
      </c>
      <c r="I2" s="92">
        <f>G2-H2</f>
        <v>41</v>
      </c>
      <c r="J2" s="92">
        <f>3*D2+E2</f>
        <v>63</v>
      </c>
    </row>
    <row r="3" spans="1:10" x14ac:dyDescent="0.25">
      <c r="A3" s="92">
        <v>2</v>
      </c>
      <c r="B3" s="92" t="s">
        <v>77</v>
      </c>
      <c r="C3" s="92">
        <v>30</v>
      </c>
      <c r="D3" s="92">
        <v>17</v>
      </c>
      <c r="E3" s="92">
        <v>4</v>
      </c>
      <c r="F3" s="92">
        <v>9</v>
      </c>
      <c r="G3" s="92">
        <v>61</v>
      </c>
      <c r="H3" s="92">
        <v>33</v>
      </c>
      <c r="I3" s="92">
        <f t="shared" ref="I3:I17" si="0">G3-H3</f>
        <v>28</v>
      </c>
      <c r="J3" s="92">
        <f t="shared" ref="J3:J19" si="1">3*D3+E3</f>
        <v>55</v>
      </c>
    </row>
    <row r="4" spans="1:10" x14ac:dyDescent="0.25">
      <c r="A4" s="92">
        <v>3</v>
      </c>
      <c r="B4" s="92" t="s">
        <v>78</v>
      </c>
      <c r="C4" s="92">
        <v>30</v>
      </c>
      <c r="D4" s="92">
        <v>15</v>
      </c>
      <c r="E4" s="92">
        <v>9</v>
      </c>
      <c r="F4" s="92">
        <v>6</v>
      </c>
      <c r="G4" s="92">
        <v>48</v>
      </c>
      <c r="H4" s="92">
        <v>27</v>
      </c>
      <c r="I4" s="92">
        <f t="shared" si="0"/>
        <v>21</v>
      </c>
      <c r="J4" s="92">
        <f t="shared" si="1"/>
        <v>54</v>
      </c>
    </row>
    <row r="5" spans="1:10" x14ac:dyDescent="0.25">
      <c r="A5" s="92">
        <v>4</v>
      </c>
      <c r="B5" s="92" t="s">
        <v>79</v>
      </c>
      <c r="C5" s="92">
        <v>30</v>
      </c>
      <c r="D5" s="92">
        <v>15</v>
      </c>
      <c r="E5" s="92">
        <v>9</v>
      </c>
      <c r="F5" s="92">
        <v>6</v>
      </c>
      <c r="G5" s="92">
        <v>43</v>
      </c>
      <c r="H5" s="92">
        <v>30</v>
      </c>
      <c r="I5" s="92">
        <f t="shared" si="0"/>
        <v>13</v>
      </c>
      <c r="J5" s="92">
        <f t="shared" si="1"/>
        <v>54</v>
      </c>
    </row>
    <row r="6" spans="1:10" x14ac:dyDescent="0.25">
      <c r="A6" s="92">
        <v>5</v>
      </c>
      <c r="B6" s="92" t="s">
        <v>80</v>
      </c>
      <c r="C6" s="92">
        <v>30</v>
      </c>
      <c r="D6" s="92">
        <v>16</v>
      </c>
      <c r="E6" s="92">
        <v>4</v>
      </c>
      <c r="F6" s="92">
        <v>10</v>
      </c>
      <c r="G6" s="92">
        <v>48</v>
      </c>
      <c r="H6" s="92">
        <v>30</v>
      </c>
      <c r="I6" s="92">
        <f t="shared" si="0"/>
        <v>18</v>
      </c>
      <c r="J6" s="92">
        <f t="shared" si="1"/>
        <v>52</v>
      </c>
    </row>
    <row r="7" spans="1:10" x14ac:dyDescent="0.25">
      <c r="A7" s="92">
        <v>6</v>
      </c>
      <c r="B7" s="92" t="s">
        <v>81</v>
      </c>
      <c r="C7" s="92">
        <v>30</v>
      </c>
      <c r="D7" s="92">
        <v>13</v>
      </c>
      <c r="E7" s="92">
        <v>9</v>
      </c>
      <c r="F7" s="92">
        <v>8</v>
      </c>
      <c r="G7" s="92">
        <v>39</v>
      </c>
      <c r="H7" s="92">
        <v>28</v>
      </c>
      <c r="I7" s="92">
        <f>G7-H7</f>
        <v>11</v>
      </c>
      <c r="J7" s="92">
        <f t="shared" si="1"/>
        <v>48</v>
      </c>
    </row>
    <row r="8" spans="1:10" x14ac:dyDescent="0.25">
      <c r="A8" s="92">
        <v>7</v>
      </c>
      <c r="B8" s="92" t="s">
        <v>82</v>
      </c>
      <c r="C8" s="92">
        <v>30</v>
      </c>
      <c r="D8" s="92">
        <v>13</v>
      </c>
      <c r="E8" s="92">
        <v>6</v>
      </c>
      <c r="F8" s="92">
        <v>11</v>
      </c>
      <c r="G8" s="92">
        <v>38</v>
      </c>
      <c r="H8" s="92">
        <v>41</v>
      </c>
      <c r="I8" s="92">
        <f t="shared" si="0"/>
        <v>-3</v>
      </c>
      <c r="J8" s="92">
        <f t="shared" si="1"/>
        <v>45</v>
      </c>
    </row>
    <row r="9" spans="1:10" x14ac:dyDescent="0.25">
      <c r="A9" s="92">
        <v>8</v>
      </c>
      <c r="B9" s="92" t="s">
        <v>83</v>
      </c>
      <c r="C9" s="92">
        <v>30</v>
      </c>
      <c r="D9" s="92">
        <v>12</v>
      </c>
      <c r="E9" s="92">
        <v>6</v>
      </c>
      <c r="F9" s="92">
        <v>12</v>
      </c>
      <c r="G9" s="92">
        <v>31</v>
      </c>
      <c r="H9" s="92">
        <v>37</v>
      </c>
      <c r="I9" s="92">
        <f t="shared" si="0"/>
        <v>-6</v>
      </c>
      <c r="J9" s="92">
        <f t="shared" si="1"/>
        <v>42</v>
      </c>
    </row>
    <row r="10" spans="1:10" x14ac:dyDescent="0.25">
      <c r="A10" s="92">
        <v>9</v>
      </c>
      <c r="B10" s="92" t="s">
        <v>84</v>
      </c>
      <c r="C10" s="92">
        <v>30</v>
      </c>
      <c r="D10" s="92">
        <v>11</v>
      </c>
      <c r="E10" s="92">
        <v>8</v>
      </c>
      <c r="F10" s="92">
        <v>11</v>
      </c>
      <c r="G10" s="92">
        <v>31</v>
      </c>
      <c r="H10" s="92">
        <v>39</v>
      </c>
      <c r="I10" s="92">
        <f t="shared" si="0"/>
        <v>-8</v>
      </c>
      <c r="J10" s="92">
        <f t="shared" si="1"/>
        <v>41</v>
      </c>
    </row>
    <row r="11" spans="1:10" x14ac:dyDescent="0.25">
      <c r="A11" s="92">
        <v>10</v>
      </c>
      <c r="B11" s="92" t="s">
        <v>85</v>
      </c>
      <c r="C11" s="92">
        <v>30</v>
      </c>
      <c r="D11" s="92">
        <v>10</v>
      </c>
      <c r="E11" s="92">
        <v>6</v>
      </c>
      <c r="F11" s="92">
        <v>14</v>
      </c>
      <c r="G11" s="92">
        <v>32</v>
      </c>
      <c r="H11" s="92">
        <v>42</v>
      </c>
      <c r="I11" s="92">
        <f t="shared" si="0"/>
        <v>-10</v>
      </c>
      <c r="J11" s="92">
        <f t="shared" si="1"/>
        <v>36</v>
      </c>
    </row>
    <row r="12" spans="1:10" x14ac:dyDescent="0.25">
      <c r="A12" s="92">
        <v>11</v>
      </c>
      <c r="B12" s="92" t="s">
        <v>86</v>
      </c>
      <c r="C12" s="92">
        <v>30</v>
      </c>
      <c r="D12" s="92">
        <v>8</v>
      </c>
      <c r="E12" s="92">
        <v>11</v>
      </c>
      <c r="F12" s="92">
        <v>11</v>
      </c>
      <c r="G12" s="92">
        <v>36</v>
      </c>
      <c r="H12" s="92">
        <v>33</v>
      </c>
      <c r="I12" s="92">
        <f t="shared" si="0"/>
        <v>3</v>
      </c>
      <c r="J12" s="92">
        <f t="shared" si="1"/>
        <v>35</v>
      </c>
    </row>
    <row r="13" spans="1:10" x14ac:dyDescent="0.25">
      <c r="A13" s="92">
        <v>12</v>
      </c>
      <c r="B13" s="92" t="s">
        <v>87</v>
      </c>
      <c r="C13" s="92">
        <v>30</v>
      </c>
      <c r="D13" s="92">
        <v>9</v>
      </c>
      <c r="E13" s="92">
        <v>6</v>
      </c>
      <c r="F13" s="92">
        <v>15</v>
      </c>
      <c r="G13" s="92">
        <v>33</v>
      </c>
      <c r="H13" s="92">
        <v>48</v>
      </c>
      <c r="I13" s="92">
        <f t="shared" si="0"/>
        <v>-15</v>
      </c>
      <c r="J13" s="92">
        <f t="shared" si="1"/>
        <v>33</v>
      </c>
    </row>
    <row r="14" spans="1:10" x14ac:dyDescent="0.25">
      <c r="A14" s="92">
        <v>13</v>
      </c>
      <c r="B14" s="92" t="s">
        <v>88</v>
      </c>
      <c r="C14" s="92">
        <v>30</v>
      </c>
      <c r="D14" s="92">
        <v>8</v>
      </c>
      <c r="E14" s="92">
        <v>9</v>
      </c>
      <c r="F14" s="92">
        <v>13</v>
      </c>
      <c r="G14" s="92">
        <v>27</v>
      </c>
      <c r="H14" s="92">
        <v>37</v>
      </c>
      <c r="I14" s="92">
        <f t="shared" si="0"/>
        <v>-10</v>
      </c>
      <c r="J14" s="92">
        <f t="shared" si="1"/>
        <v>33</v>
      </c>
    </row>
    <row r="15" spans="1:10" x14ac:dyDescent="0.25">
      <c r="A15" s="92">
        <v>14</v>
      </c>
      <c r="B15" s="92" t="s">
        <v>89</v>
      </c>
      <c r="C15" s="92">
        <v>30</v>
      </c>
      <c r="D15" s="92">
        <v>7</v>
      </c>
      <c r="E15" s="92">
        <v>11</v>
      </c>
      <c r="F15" s="92">
        <v>12</v>
      </c>
      <c r="G15" s="92">
        <v>28</v>
      </c>
      <c r="H15" s="92">
        <v>39</v>
      </c>
      <c r="I15" s="92">
        <f t="shared" si="0"/>
        <v>-11</v>
      </c>
      <c r="J15" s="92">
        <f t="shared" si="1"/>
        <v>32</v>
      </c>
    </row>
    <row r="16" spans="1:10" x14ac:dyDescent="0.25">
      <c r="A16" s="92">
        <v>15</v>
      </c>
      <c r="B16" s="92" t="s">
        <v>90</v>
      </c>
      <c r="C16" s="92">
        <v>30</v>
      </c>
      <c r="D16" s="92">
        <v>6</v>
      </c>
      <c r="E16" s="92">
        <v>10</v>
      </c>
      <c r="F16" s="92">
        <v>14</v>
      </c>
      <c r="G16" s="92">
        <v>23</v>
      </c>
      <c r="H16" s="92">
        <v>51</v>
      </c>
      <c r="I16" s="92">
        <f t="shared" si="0"/>
        <v>-28</v>
      </c>
      <c r="J16" s="92">
        <f t="shared" si="1"/>
        <v>28</v>
      </c>
    </row>
    <row r="17" spans="1:10" x14ac:dyDescent="0.25">
      <c r="A17" s="92">
        <v>16</v>
      </c>
      <c r="B17" s="92" t="s">
        <v>91</v>
      </c>
      <c r="C17" s="92">
        <v>30</v>
      </c>
      <c r="D17" s="92">
        <v>2</v>
      </c>
      <c r="E17" s="92">
        <v>4</v>
      </c>
      <c r="F17" s="92">
        <v>24</v>
      </c>
      <c r="G17" s="92">
        <v>20</v>
      </c>
      <c r="H17" s="92">
        <v>64</v>
      </c>
      <c r="I17" s="92">
        <f t="shared" si="0"/>
        <v>-44</v>
      </c>
      <c r="J17" s="92">
        <f t="shared" si="1"/>
        <v>10</v>
      </c>
    </row>
  </sheetData>
  <conditionalFormatting sqref="I2:I17">
    <cfRule type="top10" dxfId="3" priority="4" rank="3"/>
    <cfRule type="top10" dxfId="2" priority="3" bottom="1" rank="3"/>
    <cfRule type="cellIs" dxfId="1" priority="2" operator="equal">
      <formula>0</formula>
    </cfRule>
  </conditionalFormatting>
  <conditionalFormatting sqref="J2:J17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{035BE87F-FD9C-4AA1-99F0-92CB5D57386A}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36496E4D-5691-43A9-90D7-76D6433C1AD3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E2:E17</xm:sqref>
        </x14:conditionalFormatting>
        <x14:conditionalFormatting xmlns:xm="http://schemas.microsoft.com/office/excel/2006/main">
          <x14:cfRule type="iconSet" priority="6" id="{AC415091-C560-4727-9784-96F37DFF5400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D2:D17</xm:sqref>
        </x14:conditionalFormatting>
        <x14:conditionalFormatting xmlns:xm="http://schemas.microsoft.com/office/excel/2006/main">
          <x14:cfRule type="iconSet" priority="5" id="{8709815E-342D-4C68-A049-3E3765ACC6C8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F2:F17</xm:sqref>
        </x14:conditionalFormatting>
        <x14:conditionalFormatting xmlns:xm="http://schemas.microsoft.com/office/excel/2006/main">
          <x14:cfRule type="dataBar" id="{035BE87F-FD9C-4AA1-99F0-92CB5D5738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26447-6ABF-4677-A7E5-A73F47485B62}">
  <sheetPr codeName="Лист6"/>
  <dimension ref="A1:C14"/>
  <sheetViews>
    <sheetView workbookViewId="0">
      <selection activeCell="F23" sqref="F23"/>
    </sheetView>
  </sheetViews>
  <sheetFormatPr defaultRowHeight="15" x14ac:dyDescent="0.25"/>
  <cols>
    <col min="1" max="1" width="24.28515625" bestFit="1" customWidth="1"/>
    <col min="2" max="2" width="14.42578125" bestFit="1" customWidth="1"/>
    <col min="3" max="3" width="14.28515625" bestFit="1" customWidth="1"/>
  </cols>
  <sheetData>
    <row r="1" spans="1:3" x14ac:dyDescent="0.25">
      <c r="A1" s="93" t="s">
        <v>92</v>
      </c>
      <c r="B1" s="93" t="s">
        <v>93</v>
      </c>
      <c r="C1" s="93" t="s">
        <v>94</v>
      </c>
    </row>
    <row r="2" spans="1:3" x14ac:dyDescent="0.25">
      <c r="A2" s="92" t="s">
        <v>95</v>
      </c>
      <c r="B2" s="92">
        <v>2</v>
      </c>
      <c r="C2" s="98">
        <f>IF(ISNA(VLOOKUP(A2,'Таблица2(F3)'!$A$2:$B$13,2,FALSE)), "Нет на рынке", B2*VLOOKUP(A2, 'Таблица2(F3)'!$A$2:$B$13,2,FALSE))</f>
        <v>5200</v>
      </c>
    </row>
    <row r="3" spans="1:3" x14ac:dyDescent="0.25">
      <c r="A3" s="92" t="s">
        <v>96</v>
      </c>
      <c r="B3" s="92">
        <v>2</v>
      </c>
      <c r="C3" s="98">
        <f>IF(ISNA(VLOOKUP(A3,'Таблица2(F3)'!$A$2:$B$13,2,FALSE)), "Нет на рынке", B3*VLOOKUP(A3, 'Таблица2(F3)'!$A$2:$B$13,2,FALSE))</f>
        <v>5600</v>
      </c>
    </row>
    <row r="4" spans="1:3" x14ac:dyDescent="0.25">
      <c r="A4" s="92" t="s">
        <v>97</v>
      </c>
      <c r="B4" s="92">
        <v>1</v>
      </c>
      <c r="C4" s="98">
        <f>IF(ISNA(VLOOKUP(A4,'Таблица2(F3)'!$A$2:$B$13,2,FALSE)), "Нет на рынке", B4*VLOOKUP(A4, 'Таблица2(F3)'!$A$2:$B$13,2,FALSE))</f>
        <v>8000</v>
      </c>
    </row>
    <row r="5" spans="1:3" x14ac:dyDescent="0.25">
      <c r="A5" s="92" t="s">
        <v>98</v>
      </c>
      <c r="B5" s="92">
        <v>3</v>
      </c>
      <c r="C5" s="98" t="str">
        <f>IF(ISNA(VLOOKUP(A5,'Таблица2(F3)'!$A$2:$B$13,2,FALSE)), "Нет на рынке", B5*VLOOKUP(A5, 'Таблица2(F3)'!$A$2:$B$13,2,FALSE))</f>
        <v>Нет на рынке</v>
      </c>
    </row>
    <row r="6" spans="1:3" x14ac:dyDescent="0.25">
      <c r="A6" s="92" t="s">
        <v>99</v>
      </c>
      <c r="B6" s="92">
        <v>4</v>
      </c>
      <c r="C6" s="98">
        <f>IF(ISNA(VLOOKUP(A6,'Таблица2(F3)'!$A$2:$B$13,2,FALSE)), "Нет на рынке", B6*VLOOKUP(A6, 'Таблица2(F3)'!$A$2:$B$13,2,FALSE))</f>
        <v>48000</v>
      </c>
    </row>
    <row r="7" spans="1:3" x14ac:dyDescent="0.25">
      <c r="A7" s="92" t="s">
        <v>100</v>
      </c>
      <c r="B7" s="92">
        <v>1</v>
      </c>
      <c r="C7" s="98">
        <f>IF(ISNA(VLOOKUP(A7,'Таблица2(F3)'!$A$2:$B$13,2,FALSE)), "Нет на рынке", B7*VLOOKUP(A7, 'Таблица2(F3)'!$A$2:$B$13,2,FALSE))</f>
        <v>3500</v>
      </c>
    </row>
    <row r="8" spans="1:3" x14ac:dyDescent="0.25">
      <c r="A8" s="92" t="s">
        <v>101</v>
      </c>
      <c r="B8" s="92">
        <v>1</v>
      </c>
      <c r="C8" s="98">
        <f>IF(ISNA(VLOOKUP(A8,'Таблица2(F3)'!$A$2:$B$13,2,FALSE)), "Нет на рынке", B8*VLOOKUP(A8, 'Таблица2(F3)'!$A$2:$B$13,2,FALSE))</f>
        <v>700</v>
      </c>
    </row>
    <row r="9" spans="1:3" x14ac:dyDescent="0.25">
      <c r="A9" s="92" t="s">
        <v>102</v>
      </c>
      <c r="B9" s="92">
        <v>5</v>
      </c>
      <c r="C9" s="98">
        <f>IF(ISNA(VLOOKUP(A9,'Таблица2(F3)'!$A$2:$B$13,2,FALSE)), "Нет на рынке", B9*VLOOKUP(A9, 'Таблица2(F3)'!$A$2:$B$13,2,FALSE))</f>
        <v>20000</v>
      </c>
    </row>
    <row r="10" spans="1:3" x14ac:dyDescent="0.25">
      <c r="A10" s="92" t="s">
        <v>103</v>
      </c>
      <c r="B10" s="92">
        <v>2</v>
      </c>
      <c r="C10" s="98">
        <f>IF(ISNA(VLOOKUP(A10,'Таблица2(F3)'!$A$2:$B$13,2,FALSE)), "Нет на рынке", B10*VLOOKUP(A10, 'Таблица2(F3)'!$A$2:$B$13,2,FALSE))</f>
        <v>3000</v>
      </c>
    </row>
    <row r="11" spans="1:3" x14ac:dyDescent="0.25">
      <c r="A11" s="92" t="s">
        <v>104</v>
      </c>
      <c r="B11" s="92">
        <v>1</v>
      </c>
      <c r="C11" s="98" t="str">
        <f>IF(ISNA(VLOOKUP(A11,'Таблица2(F3)'!$A$2:$B$13,2,FALSE)), "Нет на рынке", B11*VLOOKUP(A11, 'Таблица2(F3)'!$A$2:$B$13,2,FALSE))</f>
        <v>Нет на рынке</v>
      </c>
    </row>
    <row r="12" spans="1:3" x14ac:dyDescent="0.25">
      <c r="A12" s="92" t="s">
        <v>105</v>
      </c>
      <c r="B12" s="92">
        <v>10</v>
      </c>
      <c r="C12" s="98">
        <f>IF(ISNA(VLOOKUP(A12,'Таблица2(F3)'!$A$2:$B$13,2,FALSE)), "Нет на рынке", B12*VLOOKUP(A12, 'Таблица2(F3)'!$A$2:$B$13,2,FALSE))</f>
        <v>3500</v>
      </c>
    </row>
    <row r="13" spans="1:3" x14ac:dyDescent="0.25">
      <c r="A13" s="92" t="s">
        <v>106</v>
      </c>
      <c r="B13" s="92">
        <v>8</v>
      </c>
      <c r="C13" s="98">
        <f>IF(ISNA(VLOOKUP(A13,'Таблица2(F3)'!$A$2:$B$13,2,FALSE)), "Нет на рынке", B13*VLOOKUP(A13, 'Таблица2(F3)'!$A$2:$B$13,2,FALSE))</f>
        <v>3640</v>
      </c>
    </row>
    <row r="14" spans="1:3" x14ac:dyDescent="0.25">
      <c r="B14" s="94" t="s">
        <v>107</v>
      </c>
      <c r="C14" s="99">
        <f>SUM(C2:C13)</f>
        <v>101140</v>
      </c>
    </row>
  </sheetData>
  <conditionalFormatting sqref="C2:C13">
    <cfRule type="cellIs" dxfId="0" priority="1" operator="equal">
      <formula>"Нет на рынке"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FD08-9D73-4CAB-9278-50431C2ABB8C}">
  <sheetPr codeName="Лист7"/>
  <dimension ref="A1:F23"/>
  <sheetViews>
    <sheetView workbookViewId="0">
      <selection activeCell="A2" sqref="A2"/>
    </sheetView>
  </sheetViews>
  <sheetFormatPr defaultRowHeight="15" x14ac:dyDescent="0.25"/>
  <cols>
    <col min="1" max="1" width="22.85546875" bestFit="1" customWidth="1"/>
    <col min="2" max="2" width="13.42578125" bestFit="1" customWidth="1"/>
    <col min="3" max="3" width="14.28515625" bestFit="1" customWidth="1"/>
  </cols>
  <sheetData>
    <row r="1" spans="1:6" x14ac:dyDescent="0.25">
      <c r="A1" s="93" t="s">
        <v>108</v>
      </c>
      <c r="B1" s="93" t="s">
        <v>109</v>
      </c>
      <c r="C1" s="95"/>
      <c r="D1" s="57"/>
      <c r="E1" s="57"/>
      <c r="F1" s="57"/>
    </row>
    <row r="2" spans="1:6" x14ac:dyDescent="0.25">
      <c r="A2" s="92" t="s">
        <v>97</v>
      </c>
      <c r="B2" s="92">
        <v>8000</v>
      </c>
      <c r="C2" s="57"/>
      <c r="D2" s="57"/>
      <c r="E2" s="57"/>
      <c r="F2" s="57"/>
    </row>
    <row r="3" spans="1:6" x14ac:dyDescent="0.25">
      <c r="A3" s="92" t="s">
        <v>110</v>
      </c>
      <c r="B3" s="92">
        <v>1400</v>
      </c>
      <c r="C3" s="57"/>
      <c r="D3" s="57"/>
      <c r="E3" s="57"/>
      <c r="F3" s="57"/>
    </row>
    <row r="4" spans="1:6" x14ac:dyDescent="0.25">
      <c r="A4" s="92" t="s">
        <v>99</v>
      </c>
      <c r="B4" s="92">
        <v>12000</v>
      </c>
      <c r="C4" s="57"/>
      <c r="D4" s="57"/>
      <c r="E4" s="57"/>
      <c r="F4" s="57"/>
    </row>
    <row r="5" spans="1:6" x14ac:dyDescent="0.25">
      <c r="A5" s="97" t="s">
        <v>100</v>
      </c>
      <c r="B5" s="92">
        <v>3500</v>
      </c>
      <c r="C5" s="57"/>
      <c r="D5" s="57"/>
      <c r="E5" s="57"/>
      <c r="F5" s="57"/>
    </row>
    <row r="6" spans="1:6" x14ac:dyDescent="0.25">
      <c r="A6" s="97" t="s">
        <v>101</v>
      </c>
      <c r="B6" s="97">
        <v>700</v>
      </c>
      <c r="C6" s="57"/>
      <c r="D6" s="57"/>
      <c r="E6" s="57"/>
      <c r="F6" s="57"/>
    </row>
    <row r="7" spans="1:6" x14ac:dyDescent="0.25">
      <c r="A7" s="97" t="s">
        <v>105</v>
      </c>
      <c r="B7" s="97">
        <v>350</v>
      </c>
      <c r="C7" s="57"/>
      <c r="D7" s="57"/>
      <c r="E7" s="57"/>
      <c r="F7" s="57"/>
    </row>
    <row r="8" spans="1:6" x14ac:dyDescent="0.25">
      <c r="A8" s="97" t="s">
        <v>103</v>
      </c>
      <c r="B8" s="97">
        <v>1500</v>
      </c>
      <c r="C8" s="57"/>
      <c r="D8" s="57"/>
      <c r="E8" s="57"/>
      <c r="F8" s="57"/>
    </row>
    <row r="9" spans="1:6" x14ac:dyDescent="0.25">
      <c r="A9" s="97" t="s">
        <v>106</v>
      </c>
      <c r="B9" s="97">
        <v>455</v>
      </c>
      <c r="C9" s="57"/>
      <c r="D9" s="57"/>
      <c r="E9" s="57"/>
      <c r="F9" s="57"/>
    </row>
    <row r="10" spans="1:6" x14ac:dyDescent="0.25">
      <c r="A10" s="97" t="s">
        <v>95</v>
      </c>
      <c r="B10" s="97">
        <v>2600</v>
      </c>
      <c r="C10" s="57"/>
      <c r="D10" s="57"/>
      <c r="E10" s="57"/>
      <c r="F10" s="57"/>
    </row>
    <row r="11" spans="1:6" x14ac:dyDescent="0.25">
      <c r="A11" s="97" t="s">
        <v>102</v>
      </c>
      <c r="B11" s="97">
        <v>4000</v>
      </c>
      <c r="C11" s="57"/>
      <c r="D11" s="57"/>
      <c r="E11" s="57"/>
      <c r="F11" s="57"/>
    </row>
    <row r="12" spans="1:6" x14ac:dyDescent="0.25">
      <c r="A12" s="97" t="s">
        <v>96</v>
      </c>
      <c r="B12" s="97">
        <v>2800</v>
      </c>
      <c r="C12" s="57"/>
      <c r="D12" s="57"/>
      <c r="E12" s="57"/>
      <c r="F12" s="57"/>
    </row>
    <row r="13" spans="1:6" x14ac:dyDescent="0.25">
      <c r="A13" s="97" t="s">
        <v>111</v>
      </c>
      <c r="B13" s="97">
        <v>790</v>
      </c>
      <c r="C13" s="57"/>
      <c r="D13" s="57"/>
      <c r="E13" s="57"/>
      <c r="F13" s="57"/>
    </row>
    <row r="14" spans="1:6" x14ac:dyDescent="0.25">
      <c r="A14" s="57"/>
      <c r="B14" s="96"/>
      <c r="C14" s="57"/>
      <c r="D14" s="57"/>
      <c r="E14" s="57"/>
      <c r="F14" s="57"/>
    </row>
    <row r="15" spans="1:6" x14ac:dyDescent="0.25">
      <c r="A15" s="57"/>
      <c r="B15" s="57"/>
      <c r="C15" s="57"/>
      <c r="D15" s="57"/>
      <c r="E15" s="57"/>
      <c r="F15" s="57"/>
    </row>
    <row r="16" spans="1:6" x14ac:dyDescent="0.25">
      <c r="A16" s="57"/>
      <c r="B16" s="57"/>
      <c r="C16" s="57"/>
      <c r="D16" s="57"/>
      <c r="E16" s="57"/>
      <c r="F16" s="57"/>
    </row>
    <row r="17" spans="1:6" x14ac:dyDescent="0.25">
      <c r="A17" s="57"/>
      <c r="B17" s="57"/>
      <c r="C17" s="57"/>
      <c r="D17" s="57"/>
      <c r="E17" s="57"/>
      <c r="F17" s="57"/>
    </row>
    <row r="18" spans="1:6" x14ac:dyDescent="0.25">
      <c r="A18" s="57"/>
      <c r="B18" s="57"/>
      <c r="C18" s="57"/>
      <c r="D18" s="57"/>
      <c r="E18" s="57"/>
      <c r="F18" s="57"/>
    </row>
    <row r="19" spans="1:6" x14ac:dyDescent="0.25">
      <c r="A19" s="57"/>
      <c r="B19" s="57"/>
      <c r="C19" s="57"/>
      <c r="D19" s="57"/>
      <c r="E19" s="57"/>
      <c r="F19" s="57"/>
    </row>
    <row r="20" spans="1:6" x14ac:dyDescent="0.25">
      <c r="A20" s="57"/>
      <c r="B20" s="57"/>
      <c r="C20" s="57"/>
      <c r="D20" s="57"/>
      <c r="E20" s="57"/>
      <c r="F20" s="57"/>
    </row>
    <row r="21" spans="1:6" x14ac:dyDescent="0.25">
      <c r="A21" s="57"/>
      <c r="B21" s="57"/>
      <c r="C21" s="57"/>
      <c r="D21" s="57"/>
      <c r="E21" s="57"/>
      <c r="F21" s="57"/>
    </row>
    <row r="22" spans="1:6" x14ac:dyDescent="0.25">
      <c r="A22" s="57"/>
      <c r="B22" s="57"/>
      <c r="C22" s="57"/>
      <c r="D22" s="57"/>
      <c r="E22" s="57"/>
      <c r="F22" s="57"/>
    </row>
    <row r="23" spans="1:6" x14ac:dyDescent="0.25">
      <c r="A23" s="57"/>
      <c r="B23" s="57"/>
      <c r="C23" s="57"/>
      <c r="D23" s="57"/>
      <c r="E23" s="57"/>
      <c r="F23" s="5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B9311-13A2-4EAF-87AE-892B8CAE5866}">
  <sheetPr codeName="Лист8"/>
  <dimension ref="A1:O22"/>
  <sheetViews>
    <sheetView workbookViewId="0">
      <selection activeCell="A3" sqref="A3:A8"/>
    </sheetView>
  </sheetViews>
  <sheetFormatPr defaultRowHeight="15" x14ac:dyDescent="0.25"/>
  <cols>
    <col min="1" max="1" width="5.28515625" bestFit="1" customWidth="1"/>
    <col min="2" max="2" width="7.85546875" bestFit="1" customWidth="1"/>
    <col min="3" max="3" width="6.28515625" bestFit="1" customWidth="1"/>
    <col min="4" max="4" width="16.7109375" bestFit="1" customWidth="1"/>
    <col min="5" max="5" width="19.42578125" bestFit="1" customWidth="1"/>
    <col min="6" max="6" width="7.85546875" bestFit="1" customWidth="1"/>
    <col min="7" max="7" width="8.85546875" bestFit="1" customWidth="1"/>
    <col min="9" max="9" width="5.28515625" bestFit="1" customWidth="1"/>
    <col min="10" max="10" width="8" bestFit="1" customWidth="1"/>
    <col min="11" max="11" width="6.28515625" bestFit="1" customWidth="1"/>
    <col min="12" max="12" width="16.5703125" bestFit="1" customWidth="1"/>
    <col min="13" max="13" width="19.42578125" bestFit="1" customWidth="1"/>
    <col min="14" max="14" width="7.85546875" bestFit="1" customWidth="1"/>
    <col min="15" max="15" width="8.85546875" bestFit="1" customWidth="1"/>
  </cols>
  <sheetData>
    <row r="1" spans="1:15" x14ac:dyDescent="0.25">
      <c r="D1" s="1" t="s">
        <v>112</v>
      </c>
      <c r="E1" s="1"/>
      <c r="F1" s="100" t="str" cm="1">
        <f t="array" ref="F1">_xlfn.IFS(OR(MONTH(A3)=9, MONTH(A3)=10, MONTH(A3)=11), ROMAN(1), OR(MONTH(A3)=12, MONTH(A3)=1, MONTH(A3)=2), ROMAN(2), OR(MONTH(A3)=3, MONTH(A3)=4, MONTH(A3)=5), ROMAN(3))</f>
        <v>I</v>
      </c>
      <c r="L1" s="1" t="s">
        <v>112</v>
      </c>
      <c r="M1" s="1"/>
      <c r="N1" s="100" t="str" cm="1">
        <f t="array" ref="N1">_xlfn.IFS(OR(MONTH(I3)=9, MONTH(I3)=10, MONTH(I3)=11), ROMAN(1), OR(MONTH(I3)=12, MONTH(I3)=1, MONTH(I3)=2), ROMAN(2), OR(MONTH(I3)=3, MONTH(I3)=4, MONTH(I3)=5), ROMAN(3))</f>
        <v>I</v>
      </c>
    </row>
    <row r="2" spans="1:15" ht="45" x14ac:dyDescent="0.25">
      <c r="A2" s="103" t="s">
        <v>113</v>
      </c>
      <c r="B2" s="103" t="s">
        <v>114</v>
      </c>
      <c r="C2" s="103" t="s">
        <v>115</v>
      </c>
      <c r="D2" s="103" t="s">
        <v>116</v>
      </c>
      <c r="E2" s="103" t="s">
        <v>117</v>
      </c>
      <c r="F2" s="103" t="s">
        <v>118</v>
      </c>
      <c r="G2" s="103" t="s">
        <v>119</v>
      </c>
      <c r="I2" s="103" t="s">
        <v>113</v>
      </c>
      <c r="J2" s="103" t="s">
        <v>114</v>
      </c>
      <c r="K2" s="103" t="s">
        <v>115</v>
      </c>
      <c r="L2" s="103" t="s">
        <v>116</v>
      </c>
      <c r="M2" s="103" t="s">
        <v>117</v>
      </c>
      <c r="N2" s="103" t="s">
        <v>118</v>
      </c>
      <c r="O2" s="103" t="s">
        <v>119</v>
      </c>
    </row>
    <row r="3" spans="1:15" x14ac:dyDescent="0.25">
      <c r="A3" s="101">
        <v>43709</v>
      </c>
      <c r="B3" s="102" t="s">
        <v>120</v>
      </c>
      <c r="C3" s="92">
        <v>1</v>
      </c>
      <c r="D3" s="92" t="s">
        <v>121</v>
      </c>
      <c r="E3" s="92"/>
      <c r="F3" s="92"/>
      <c r="G3" s="92"/>
      <c r="I3" s="101">
        <f>A17+1</f>
        <v>43712</v>
      </c>
      <c r="J3" s="102" t="s">
        <v>122</v>
      </c>
      <c r="K3" s="92">
        <v>1</v>
      </c>
      <c r="L3" s="92" t="s">
        <v>123</v>
      </c>
      <c r="M3" s="92"/>
      <c r="N3" s="92"/>
      <c r="O3" s="92"/>
    </row>
    <row r="4" spans="1:15" x14ac:dyDescent="0.25">
      <c r="A4" s="101"/>
      <c r="B4" s="102"/>
      <c r="C4" s="92">
        <v>2</v>
      </c>
      <c r="D4" s="92" t="s">
        <v>124</v>
      </c>
      <c r="E4" s="92"/>
      <c r="F4" s="92"/>
      <c r="G4" s="92"/>
      <c r="I4" s="101"/>
      <c r="J4" s="102"/>
      <c r="K4" s="92">
        <v>2</v>
      </c>
      <c r="L4" s="92" t="s">
        <v>124</v>
      </c>
      <c r="M4" s="92"/>
      <c r="N4" s="92"/>
      <c r="O4" s="92"/>
    </row>
    <row r="5" spans="1:15" x14ac:dyDescent="0.25">
      <c r="A5" s="101"/>
      <c r="B5" s="102"/>
      <c r="C5" s="92">
        <v>3</v>
      </c>
      <c r="D5" s="92" t="s">
        <v>125</v>
      </c>
      <c r="E5" s="92"/>
      <c r="F5" s="92"/>
      <c r="G5" s="92"/>
      <c r="I5" s="101"/>
      <c r="J5" s="102"/>
      <c r="K5" s="92">
        <v>3</v>
      </c>
      <c r="L5" s="92" t="s">
        <v>126</v>
      </c>
      <c r="M5" s="92"/>
      <c r="N5" s="92"/>
      <c r="O5" s="92"/>
    </row>
    <row r="6" spans="1:15" x14ac:dyDescent="0.25">
      <c r="A6" s="101"/>
      <c r="B6" s="102"/>
      <c r="C6" s="92">
        <v>4</v>
      </c>
      <c r="D6" s="92" t="s">
        <v>127</v>
      </c>
      <c r="E6" s="92"/>
      <c r="F6" s="92"/>
      <c r="G6" s="92"/>
      <c r="I6" s="101"/>
      <c r="J6" s="102"/>
      <c r="K6" s="92">
        <v>4</v>
      </c>
      <c r="L6" s="92" t="s">
        <v>127</v>
      </c>
      <c r="M6" s="92"/>
      <c r="N6" s="92"/>
      <c r="O6" s="92"/>
    </row>
    <row r="7" spans="1:15" x14ac:dyDescent="0.25">
      <c r="A7" s="101"/>
      <c r="B7" s="102"/>
      <c r="C7" s="92">
        <v>5</v>
      </c>
      <c r="D7" s="92" t="s">
        <v>128</v>
      </c>
      <c r="E7" s="92"/>
      <c r="F7" s="92"/>
      <c r="G7" s="92"/>
      <c r="I7" s="101"/>
      <c r="J7" s="102"/>
      <c r="K7" s="92">
        <v>5</v>
      </c>
      <c r="L7" s="92" t="s">
        <v>129</v>
      </c>
      <c r="M7" s="92"/>
      <c r="N7" s="92"/>
      <c r="O7" s="92"/>
    </row>
    <row r="8" spans="1:15" x14ac:dyDescent="0.25">
      <c r="A8" s="101"/>
      <c r="B8" s="102"/>
      <c r="C8" s="92">
        <v>6</v>
      </c>
      <c r="D8" s="92" t="s">
        <v>130</v>
      </c>
      <c r="E8" s="92"/>
      <c r="F8" s="92"/>
      <c r="G8" s="92"/>
      <c r="I8" s="101"/>
      <c r="J8" s="102"/>
      <c r="K8" s="92">
        <v>6</v>
      </c>
      <c r="L8" s="92" t="s">
        <v>131</v>
      </c>
      <c r="M8" s="92"/>
      <c r="N8" s="92"/>
      <c r="O8" s="92"/>
    </row>
    <row r="10" spans="1:15" x14ac:dyDescent="0.25">
      <c r="A10" s="101">
        <f>A3+1</f>
        <v>43710</v>
      </c>
      <c r="B10" s="102" t="s">
        <v>132</v>
      </c>
      <c r="C10" s="92">
        <v>1</v>
      </c>
      <c r="D10" s="92" t="s">
        <v>133</v>
      </c>
      <c r="E10" s="92"/>
      <c r="F10" s="92"/>
      <c r="G10" s="92"/>
      <c r="I10" s="101">
        <f>I3+1</f>
        <v>43713</v>
      </c>
      <c r="J10" s="102" t="s">
        <v>134</v>
      </c>
      <c r="K10" s="92">
        <v>1</v>
      </c>
      <c r="L10" s="92" t="s">
        <v>121</v>
      </c>
      <c r="M10" s="92"/>
      <c r="N10" s="92"/>
      <c r="O10" s="92"/>
    </row>
    <row r="11" spans="1:15" x14ac:dyDescent="0.25">
      <c r="A11" s="101"/>
      <c r="B11" s="102"/>
      <c r="C11" s="92">
        <v>2</v>
      </c>
      <c r="D11" s="92" t="s">
        <v>135</v>
      </c>
      <c r="E11" s="92"/>
      <c r="F11" s="92"/>
      <c r="G11" s="92"/>
      <c r="I11" s="101"/>
      <c r="J11" s="102"/>
      <c r="K11" s="92">
        <v>2</v>
      </c>
      <c r="L11" s="92" t="s">
        <v>127</v>
      </c>
      <c r="M11" s="92"/>
      <c r="N11" s="92"/>
      <c r="O11" s="92"/>
    </row>
    <row r="12" spans="1:15" x14ac:dyDescent="0.25">
      <c r="A12" s="101"/>
      <c r="B12" s="102"/>
      <c r="C12" s="92">
        <v>3</v>
      </c>
      <c r="D12" s="92" t="s">
        <v>123</v>
      </c>
      <c r="E12" s="92"/>
      <c r="F12" s="92"/>
      <c r="G12" s="92"/>
      <c r="I12" s="101"/>
      <c r="J12" s="102"/>
      <c r="K12" s="92">
        <v>3</v>
      </c>
      <c r="L12" s="92" t="s">
        <v>130</v>
      </c>
      <c r="M12" s="92"/>
      <c r="N12" s="92"/>
      <c r="O12" s="92"/>
    </row>
    <row r="13" spans="1:15" x14ac:dyDescent="0.25">
      <c r="A13" s="101"/>
      <c r="B13" s="102"/>
      <c r="C13" s="92">
        <v>4</v>
      </c>
      <c r="D13" s="92" t="s">
        <v>136</v>
      </c>
      <c r="E13" s="92"/>
      <c r="F13" s="92"/>
      <c r="G13" s="92"/>
      <c r="I13" s="101"/>
      <c r="J13" s="102"/>
      <c r="K13" s="92">
        <v>4</v>
      </c>
      <c r="L13" s="92" t="s">
        <v>133</v>
      </c>
      <c r="M13" s="92"/>
      <c r="N13" s="92"/>
      <c r="O13" s="92"/>
    </row>
    <row r="14" spans="1:15" x14ac:dyDescent="0.25">
      <c r="A14" s="101"/>
      <c r="B14" s="102"/>
      <c r="C14" s="92">
        <v>5</v>
      </c>
      <c r="D14" s="92" t="s">
        <v>126</v>
      </c>
      <c r="E14" s="92"/>
      <c r="F14" s="92"/>
      <c r="G14" s="92"/>
      <c r="I14" s="101"/>
      <c r="J14" s="102"/>
      <c r="K14" s="92">
        <v>5</v>
      </c>
      <c r="L14" s="92" t="s">
        <v>128</v>
      </c>
      <c r="M14" s="92"/>
      <c r="N14" s="92"/>
      <c r="O14" s="92"/>
    </row>
    <row r="15" spans="1:15" x14ac:dyDescent="0.25">
      <c r="A15" s="101"/>
      <c r="B15" s="102"/>
      <c r="C15" s="92">
        <v>6</v>
      </c>
      <c r="D15" s="92" t="s">
        <v>131</v>
      </c>
      <c r="E15" s="92"/>
      <c r="F15" s="92"/>
      <c r="G15" s="92"/>
      <c r="I15" s="101"/>
      <c r="J15" s="102"/>
      <c r="K15" s="92">
        <v>6</v>
      </c>
      <c r="L15" s="92"/>
      <c r="M15" s="92"/>
      <c r="N15" s="92"/>
      <c r="O15" s="92"/>
    </row>
    <row r="17" spans="1:15" x14ac:dyDescent="0.25">
      <c r="A17" s="101">
        <f>A10+1</f>
        <v>43711</v>
      </c>
      <c r="B17" s="102" t="s">
        <v>137</v>
      </c>
      <c r="C17" s="92">
        <v>1</v>
      </c>
      <c r="D17" s="92" t="s">
        <v>127</v>
      </c>
      <c r="E17" s="92"/>
      <c r="F17" s="92"/>
      <c r="G17" s="92"/>
      <c r="I17" s="101">
        <f>I10+1</f>
        <v>43714</v>
      </c>
      <c r="J17" s="102" t="s">
        <v>138</v>
      </c>
      <c r="K17" s="92">
        <v>1</v>
      </c>
      <c r="L17" s="92" t="s">
        <v>135</v>
      </c>
      <c r="M17" s="92"/>
      <c r="N17" s="92"/>
      <c r="O17" s="92"/>
    </row>
    <row r="18" spans="1:15" x14ac:dyDescent="0.25">
      <c r="A18" s="101"/>
      <c r="B18" s="102"/>
      <c r="C18" s="92">
        <v>2</v>
      </c>
      <c r="D18" s="92" t="s">
        <v>128</v>
      </c>
      <c r="E18" s="92"/>
      <c r="F18" s="92"/>
      <c r="G18" s="92"/>
      <c r="I18" s="101"/>
      <c r="J18" s="102"/>
      <c r="K18" s="92">
        <v>2</v>
      </c>
      <c r="L18" s="92" t="s">
        <v>136</v>
      </c>
      <c r="M18" s="92"/>
      <c r="N18" s="92"/>
      <c r="O18" s="92"/>
    </row>
    <row r="19" spans="1:15" x14ac:dyDescent="0.25">
      <c r="A19" s="101"/>
      <c r="B19" s="102"/>
      <c r="C19" s="92">
        <v>3</v>
      </c>
      <c r="D19" s="92" t="s">
        <v>125</v>
      </c>
      <c r="E19" s="92"/>
      <c r="F19" s="92"/>
      <c r="G19" s="92"/>
      <c r="I19" s="101"/>
      <c r="J19" s="102"/>
      <c r="K19" s="92">
        <v>3</v>
      </c>
      <c r="L19" s="92" t="s">
        <v>131</v>
      </c>
      <c r="M19" s="92"/>
      <c r="N19" s="92"/>
      <c r="O19" s="92"/>
    </row>
    <row r="20" spans="1:15" x14ac:dyDescent="0.25">
      <c r="A20" s="101"/>
      <c r="B20" s="102"/>
      <c r="C20" s="92">
        <v>4</v>
      </c>
      <c r="D20" s="92" t="s">
        <v>124</v>
      </c>
      <c r="E20" s="92"/>
      <c r="F20" s="92"/>
      <c r="G20" s="92"/>
      <c r="I20" s="101"/>
      <c r="J20" s="102"/>
      <c r="K20" s="92">
        <v>4</v>
      </c>
      <c r="L20" s="92"/>
      <c r="M20" s="92"/>
      <c r="N20" s="92"/>
      <c r="O20" s="92"/>
    </row>
    <row r="21" spans="1:15" x14ac:dyDescent="0.25">
      <c r="A21" s="101"/>
      <c r="B21" s="102"/>
      <c r="C21" s="92">
        <v>5</v>
      </c>
      <c r="D21" s="92" t="s">
        <v>139</v>
      </c>
      <c r="E21" s="92"/>
      <c r="F21" s="92"/>
      <c r="G21" s="92"/>
      <c r="I21" s="101"/>
      <c r="J21" s="102"/>
      <c r="K21" s="92">
        <v>5</v>
      </c>
      <c r="L21" s="92"/>
      <c r="M21" s="92"/>
      <c r="N21" s="92"/>
      <c r="O21" s="92"/>
    </row>
    <row r="22" spans="1:15" x14ac:dyDescent="0.25">
      <c r="A22" s="101"/>
      <c r="B22" s="102"/>
      <c r="C22" s="92">
        <v>6</v>
      </c>
      <c r="D22" s="92"/>
      <c r="E22" s="92"/>
      <c r="F22" s="92"/>
      <c r="G22" s="92"/>
      <c r="I22" s="101"/>
      <c r="J22" s="102"/>
      <c r="K22" s="92">
        <v>6</v>
      </c>
      <c r="L22" s="92"/>
      <c r="M22" s="92"/>
      <c r="N22" s="92"/>
      <c r="O22" s="92"/>
    </row>
  </sheetData>
  <mergeCells count="14">
    <mergeCell ref="A10:A15"/>
    <mergeCell ref="B10:B15"/>
    <mergeCell ref="I10:I15"/>
    <mergeCell ref="J10:J15"/>
    <mergeCell ref="A17:A22"/>
    <mergeCell ref="B17:B22"/>
    <mergeCell ref="I17:I22"/>
    <mergeCell ref="J17:J22"/>
    <mergeCell ref="D1:E1"/>
    <mergeCell ref="L1:M1"/>
    <mergeCell ref="A3:A8"/>
    <mergeCell ref="B3:B8"/>
    <mergeCell ref="I3:I8"/>
    <mergeCell ref="J3:J8"/>
  </mergeCell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B2</vt:lpstr>
      <vt:lpstr>Справочник(C5)</vt:lpstr>
      <vt:lpstr>Расчет(C5)</vt:lpstr>
      <vt:lpstr>Диаграмма(C5)</vt:lpstr>
      <vt:lpstr>E(2009)</vt:lpstr>
      <vt:lpstr>Таблица1(F3)</vt:lpstr>
      <vt:lpstr>Таблица2(F3)</vt:lpstr>
      <vt:lpstr>G1(неделя 1)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Timur</dc:creator>
  <cp:lastModifiedBy>Timur</cp:lastModifiedBy>
  <cp:lastPrinted>2020-12-16T04:27:44Z</cp:lastPrinted>
  <dcterms:created xsi:type="dcterms:W3CDTF">2020-12-15T11:17:08Z</dcterms:created>
  <dcterms:modified xsi:type="dcterms:W3CDTF">2020-12-16T05:03:25Z</dcterms:modified>
</cp:coreProperties>
</file>